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888" firstSheet="2" activeTab="4" autoFilterDateGrouping="1"/>
  </bookViews>
  <sheets>
    <sheet xmlns:r="http://schemas.openxmlformats.org/officeDocument/2006/relationships" name="Sheet1" sheetId="1" state="hidden" r:id="rId1"/>
    <sheet xmlns:r="http://schemas.openxmlformats.org/officeDocument/2006/relationships" name="Step by Step" sheetId="2" state="visible" r:id="rId2"/>
    <sheet xmlns:r="http://schemas.openxmlformats.org/officeDocument/2006/relationships" name="Film -Summary Pricing" sheetId="3" state="visible" r:id="rId3"/>
    <sheet xmlns:r="http://schemas.openxmlformats.org/officeDocument/2006/relationships" name="BOM" sheetId="4" state="visible" r:id="rId4"/>
    <sheet xmlns:r="http://schemas.openxmlformats.org/officeDocument/2006/relationships" name="Film Pricing" sheetId="5" state="visible" r:id="rId5"/>
    <sheet xmlns:r="http://schemas.openxmlformats.org/officeDocument/2006/relationships" name="Bags Calculator" sheetId="6" state="visible" r:id="rId6"/>
    <sheet xmlns:r="http://schemas.openxmlformats.org/officeDocument/2006/relationships" name="Laminates" sheetId="7" state="visible" r:id="rId7"/>
    <sheet xmlns:r="http://schemas.openxmlformats.org/officeDocument/2006/relationships" name="HELPER" sheetId="8" state="visible" r:id="rId8"/>
    <sheet xmlns:r="http://schemas.openxmlformats.org/officeDocument/2006/relationships" name="copilot" sheetId="9" state="visible" r:id="rId9"/>
    <sheet xmlns:r="http://schemas.openxmlformats.org/officeDocument/2006/relationships" name="Matan &amp; Hagit 2" sheetId="10" state="hidden" r:id="rId10"/>
    <sheet xmlns:r="http://schemas.openxmlformats.org/officeDocument/2006/relationships" name="Lmntn &amp; Prntng- Marma &amp; Bastin " sheetId="11" state="visible" r:id="rId11"/>
    <sheet xmlns:r="http://schemas.openxmlformats.org/officeDocument/2006/relationships" name="Converting- Marma &amp; Bastin " sheetId="12" state="visible" r:id="rId12"/>
    <sheet xmlns:r="http://schemas.openxmlformats.org/officeDocument/2006/relationships" name="list TIPA &amp; B4P" sheetId="13" state="visible" r:id="rId13"/>
    <sheet xmlns:r="http://schemas.openxmlformats.org/officeDocument/2006/relationships" name="Laminates step by step" sheetId="14" state="visible" r:id="rId14"/>
    <sheet xmlns:r="http://schemas.openxmlformats.org/officeDocument/2006/relationships" name="Pouches" sheetId="15" state="visible" r:id="rId15"/>
    <sheet xmlns:r="http://schemas.openxmlformats.org/officeDocument/2006/relationships" name="Web Lookup" sheetId="16" state="visible" r:id="rId16"/>
  </sheets>
  <externalReferences>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s>
  <definedNames>
    <definedName name="AdhesiveList">'[1]Raw Material DB'!$Q$2:$Q$5</definedName>
    <definedName name="amount">#REF!</definedName>
    <definedName name="BagTypeList">'[1]Raw Material DB'!$X$2:$X$26</definedName>
    <definedName name="Barier">#REF!</definedName>
    <definedName name="Clear">#REF!</definedName>
    <definedName name="Config_302FG">#REF!</definedName>
    <definedName name="Config_302FGW">#REF!</definedName>
    <definedName name="Config_306">#REF!</definedName>
    <definedName name="Config_308">#REF!</definedName>
    <definedName name="Config_312FG">#REF!</definedName>
    <definedName name="Config_312W">#REF!</definedName>
    <definedName name="Config_NKR">#REF!</definedName>
    <definedName name="Config_PL2021">"'Film Pricing- New'!$AF$10:$AF$20"</definedName>
    <definedName name="Config_PL2022">"'Film Pricing- New'!$AG$10:$AG$20"</definedName>
    <definedName name="Config_PL2023">"'Film Pricing- New'!$AH$10:$AH$20"</definedName>
    <definedName name="Family">#REF!</definedName>
    <definedName name="Film_type">'[3]List of names'!$W$15:$W$16</definedName>
    <definedName name="FilmList">#REF!</definedName>
    <definedName name="GF048.1">#REF!</definedName>
    <definedName name="Grouped">#REF!</definedName>
    <definedName name="HardenerList">'[1]Raw Material DB'!$U$2:$U$4</definedName>
    <definedName name="JOB">OFFSET('[4]GEF063 WP Sales'!B6,0,0,COUNTA('[4]GEF063 WP Sales'!$AS$11:$AS$200),COUNTA('[4]GEF063 WP Sales'!$AS$11:$AT$11))</definedName>
    <definedName name="Jobs">'[4]GEF063 WP Sales'!$AS$10:$AS$210+'[4]GEF063 WP Sales'!$AU$10-2</definedName>
    <definedName name="Jobss">'[4]GEF063 WP Sales'!XFC2:XFC2+VALUE('[4]GEF063 WP Sales'!$AU$10)</definedName>
    <definedName name="Laminate">'[3]List of names'!$P$15:$P$18</definedName>
    <definedName name="Laminate_Thickness">#REF!</definedName>
    <definedName name="Laminate_type">'[5]List of names'!$P$14:$X$14</definedName>
    <definedName name="Laminate106">[3]!Table2[Laminate106]</definedName>
    <definedName name="Laminate604">[3]!Table4[Laminate608]</definedName>
    <definedName name="Laminate607">[3]!Table6[Laminate607]</definedName>
    <definedName name="Laminate607\">[3]!Table6[Laminate607]</definedName>
    <definedName name="Laminate608W">[3]!Table3[Laminate608 W]</definedName>
    <definedName name="LaminateList">'[1]Raw Material DB'!$M$20:$M$82</definedName>
    <definedName name="MATERIAL">'[6]Raw materials prices'!$L$51:$L$61</definedName>
    <definedName name="Materials">'[7]list for drop down menu'!$A$1:$A$20</definedName>
    <definedName name="Metalize">#REF!</definedName>
    <definedName name="NKR">'[1]List of names'!#REF!</definedName>
    <definedName name="Paper">#REF!</definedName>
    <definedName name="pirce">#REF!</definedName>
    <definedName name="PO">#REF!</definedName>
    <definedName name="price">#REF!</definedName>
    <definedName name="ShippingRoutes">HELPER!$AF$2:$AF$4</definedName>
    <definedName name="ThicknessList">#REF!</definedName>
    <definedName name="USD">'[3]Raw material summary'!$F$3</definedName>
    <definedName name="width">#REF!</definedName>
    <definedName name="_xlnm._FilterDatabase" localSheetId="0" hidden="1">'Sheet1'!$A$20:$C$29</definedName>
    <definedName name="Film_type" localSheetId="2">'[2]List of names'!$Y$15:$Y$16</definedName>
    <definedName name="Laminate" localSheetId="2">'[2]List of names'!$P$15:$P$22</definedName>
    <definedName name="Laminate_type" localSheetId="2">'[2]List of names'!$P$14:$X$14</definedName>
    <definedName name="Laminate604" localSheetId="2">[2]!Table4[Laminate618]</definedName>
    <definedName name="Laminate608W" localSheetId="2">[2]!Table3[Laminate608W]</definedName>
    <definedName name="USD" localSheetId="2">'[2]Raw material summary'!$F$3</definedName>
    <definedName name="_xlnm._FilterDatabase" localSheetId="7" hidden="1">'HELPER'!$AV$1:$AY$51</definedName>
    <definedName name="_xlnm._FilterDatabase" localSheetId="10" hidden="1">'Lmntn &amp; Prntng- Marma &amp; Bastin '!$A$2:$K$22</definedName>
    <definedName name="_xlnm._FilterDatabase" localSheetId="12" hidden="1">'list TIPA &amp; B4P'!$A$2:$F$122</definedName>
  </definedNames>
  <calcPr calcId="191029" fullCalcOnLoad="1"/>
  <pivotCaches>
    <pivotCache xmlns:r="http://schemas.openxmlformats.org/officeDocument/2006/relationships" cacheId="63" r:id="rId17"/>
  </pivotCaches>
</workbook>
</file>

<file path=xl/styles.xml><?xml version="1.0" encoding="utf-8"?>
<styleSheet xmlns="http://schemas.openxmlformats.org/spreadsheetml/2006/main">
  <numFmts count="31">
    <numFmt numFmtId="164" formatCode="_(* #,##0.0_);_(* \(#,##0.0\);_(* &quot;-&quot;??_);_(@_)"/>
    <numFmt numFmtId="165" formatCode="_([$€-2]\ * #,##0.00_);_([$€-2]\ * \(#,##0.00\);_([$€-2]\ * &quot;-&quot;??_);_(@_)"/>
    <numFmt numFmtId="166" formatCode="_(* #,##0_);_(* \(#,##0\);_(* &quot;-&quot;??_);_(@_)"/>
    <numFmt numFmtId="167" formatCode="#,##0&quot; Kg&quot;"/>
    <numFmt numFmtId="168" formatCode="\€#,##0.00"/>
    <numFmt numFmtId="169" formatCode="0.0%"/>
    <numFmt numFmtId="170" formatCode="_([$€-2]\ * #,##0.000_);_([$€-2]\ * \(#,##0.000\);_([$€-2]\ * &quot;-&quot;??_);_(@_)"/>
    <numFmt numFmtId="171" formatCode="_([$$-409]* #,##0.00_);_([$$-409]* \(#,##0.00\);_([$$-409]* &quot;-&quot;??_);_(@_)"/>
    <numFmt numFmtId="172" formatCode="#,##0&quot; mm&quot;"/>
    <numFmt numFmtId="173" formatCode="_(* #,##0.000_);_(* \(#,##0.000\);_(* &quot;-&quot;??_);_(@_)"/>
    <numFmt numFmtId="174" formatCode="0.0000"/>
    <numFmt numFmtId="175" formatCode="_-[$£-809]* #,##0.00_-;\-[$£-809]* #,##0.00_-;_-[$£-809]* &quot;-&quot;??_-;_-@_-"/>
    <numFmt numFmtId="176" formatCode="0.000"/>
    <numFmt numFmtId="177" formatCode="_-* #,##0.00_-;\-* #,##0.00_-;_-* &quot;-&quot;??_-;_-@_-"/>
    <numFmt numFmtId="178" formatCode="_-[$€-2]\ * #,##0.00_-;\-[$€-2]\ * #,##0.00_-;_-[$€-2]\ * &quot;-&quot;??_-;_-@_-"/>
    <numFmt numFmtId="179" formatCode="#,##0.000&quot; Kg&quot;"/>
    <numFmt numFmtId="180" formatCode="#,##0.00000&quot; Kg&quot;"/>
    <numFmt numFmtId="181" formatCode="&quot;$&quot;#,##0.00"/>
    <numFmt numFmtId="182" formatCode="_([$€-2]\ * #,##0.0_);_([$€-2]\ * \(#,##0.0\);_([$€-2]\ * &quot;-&quot;??_);_(@_)"/>
    <numFmt numFmtId="183" formatCode="0.00000%"/>
    <numFmt numFmtId="184" formatCode="_(* #,##0.0000_);_(* \(#,##0.0000\);_(* &quot;-&quot;??_);_(@_)"/>
    <numFmt numFmtId="185" formatCode="_-[$€-2]\ * #,##0.000_-;\-[$€-2]\ * #,##0.000_-;_-[$€-2]\ * &quot;-&quot;??_-;_-@_-"/>
    <numFmt numFmtId="186" formatCode="_-* #,##0.0_-;\-* #,##0.0_-;_-* &quot;-&quot;??_-;_-@_-"/>
    <numFmt numFmtId="187" formatCode="_-[$€-2]\ * #,##0.000_-;\-[$€-2]\ * #,##0.000_-;_-[$€-2]\ * &quot;-&quot;???_-;_-@_-"/>
    <numFmt numFmtId="188" formatCode="_-* #,##0_-;\-* #,##0_-;_-* &quot;-&quot;??_-;_-@_-"/>
    <numFmt numFmtId="189" formatCode="#,##0.000"/>
    <numFmt numFmtId="190" formatCode="#,##0.0000"/>
    <numFmt numFmtId="191" formatCode="&quot;$&quot;\ #,##0.00"/>
    <numFmt numFmtId="192" formatCode="\€\ #,##0.00\ "/>
    <numFmt numFmtId="193" formatCode="\€\ #,##0.00"/>
    <numFmt numFmtId="194" formatCode="_-&quot;₪&quot;* #,##0.00_-;\-&quot;₪&quot;* #,##0.00_-;_-&quot;₪&quot;* &quot;-&quot;??_-;_-@_-"/>
  </numFmts>
  <fonts count="85">
    <font>
      <name val="Aptos Narrow"/>
      <family val="2"/>
      <color theme="1"/>
      <sz val="11"/>
      <scheme val="minor"/>
    </font>
    <font>
      <name val="Aptos Narrow"/>
      <family val="2"/>
      <color theme="1"/>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David"/>
      <charset val="177"/>
      <family val="2"/>
      <color theme="1"/>
      <sz val="11"/>
    </font>
    <font>
      <name val="Calibri"/>
      <family val="2"/>
      <b val="1"/>
      <color rgb="FF000000"/>
      <sz val="11"/>
    </font>
    <font>
      <name val="Calibri"/>
      <family val="2"/>
      <color theme="1"/>
      <sz val="11"/>
    </font>
    <font>
      <name val="Arial"/>
      <family val="2"/>
      <color theme="1"/>
      <sz val="11"/>
    </font>
    <font>
      <name val="Aptos Narrow"/>
      <family val="2"/>
      <b val="1"/>
      <color rgb="FFFFFFFF"/>
      <sz val="11"/>
      <scheme val="minor"/>
    </font>
    <font>
      <name val="Aptos Narrow"/>
      <family val="2"/>
      <i val="1"/>
      <color rgb="FF1F4E79"/>
      <sz val="9"/>
      <scheme val="minor"/>
    </font>
    <font>
      <name val="Calibri"/>
      <family val="2"/>
      <b val="1"/>
      <color rgb="FFFFFFFF"/>
      <sz val="11"/>
    </font>
    <font>
      <name val="Aptos Narrow"/>
      <family val="2"/>
      <sz val="11"/>
      <scheme val="minor"/>
    </font>
    <font>
      <name val="Aptos Narrow"/>
      <family val="2"/>
      <b val="1"/>
      <sz val="11"/>
      <scheme val="minor"/>
    </font>
    <font>
      <name val="Calibri"/>
      <family val="2"/>
      <b val="1"/>
      <sz val="11"/>
    </font>
    <font>
      <name val="Arial"/>
      <family val="2"/>
      <b val="1"/>
      <sz val="11"/>
    </font>
    <font>
      <name val="Aptos Narrow"/>
      <charset val="177"/>
      <family val="2"/>
      <color theme="1"/>
      <sz val="11"/>
      <scheme val="minor"/>
    </font>
    <font>
      <name val="Aptos Narrow"/>
      <family val="2"/>
      <b val="1"/>
      <color rgb="FF1F4E79"/>
      <sz val="18"/>
      <scheme val="minor"/>
    </font>
    <font>
      <name val="Aptos Narrow"/>
      <family val="2"/>
      <b val="1"/>
      <color theme="1"/>
      <sz val="14"/>
      <scheme val="minor"/>
    </font>
    <font>
      <name val="Aptos Narrow"/>
      <family val="2"/>
      <b val="1"/>
      <i val="1"/>
      <color theme="0"/>
      <sz val="9"/>
      <scheme val="minor"/>
    </font>
    <font>
      <name val="Aptos Narrow"/>
      <family val="2"/>
      <color rgb="FF006100"/>
      <sz val="11"/>
      <scheme val="minor"/>
    </font>
    <font>
      <name val="Aptos Narrow"/>
      <family val="2"/>
      <color rgb="FF9C0006"/>
      <sz val="11"/>
      <scheme val="minor"/>
    </font>
    <font>
      <name val="Aptos Narrow"/>
      <family val="2"/>
      <b val="1"/>
      <color theme="0"/>
      <sz val="11"/>
      <scheme val="minor"/>
    </font>
    <font>
      <name val="Segoe UI"/>
      <family val="2"/>
      <color rgb="FF242424"/>
      <sz val="11"/>
    </font>
    <font>
      <name val="Calibri"/>
      <family val="2"/>
      <b val="1"/>
      <color theme="1"/>
      <sz val="12"/>
    </font>
    <font>
      <name val="Arial"/>
      <family val="2"/>
      <b val="1"/>
      <color theme="1"/>
      <sz val="12"/>
    </font>
    <font>
      <name val="Aptos Narrow"/>
      <family val="2"/>
      <i val="1"/>
      <color rgb="FFFF0000"/>
      <sz val="11"/>
      <scheme val="minor"/>
    </font>
    <font>
      <name val="Arial"/>
      <family val="2"/>
      <b val="1"/>
      <color rgb="FF000000"/>
      <sz val="11"/>
    </font>
    <font>
      <name val="Aptos Narrow"/>
      <family val="2"/>
      <b val="1"/>
      <i val="1"/>
      <color rgb="FF7F7F7F"/>
      <sz val="11"/>
      <scheme val="minor"/>
    </font>
    <font>
      <name val="Aptos Narrow"/>
      <family val="2"/>
      <b val="1"/>
      <color theme="1"/>
      <sz val="12"/>
      <scheme val="minor"/>
    </font>
    <font>
      <name val="Aptos Narrow"/>
      <family val="2"/>
      <color theme="1"/>
      <sz val="12"/>
      <scheme val="minor"/>
    </font>
    <font>
      <name val="Aptos Narrow"/>
      <family val="2"/>
      <sz val="12"/>
      <scheme val="minor"/>
    </font>
    <font>
      <name val="Aptos Narrow"/>
      <family val="2"/>
      <b val="1"/>
      <color theme="1"/>
      <sz val="11"/>
      <u val="single"/>
      <scheme val="minor"/>
    </font>
    <font>
      <name val="Aptos Narrow"/>
      <family val="2"/>
      <b val="1"/>
      <color theme="0"/>
      <sz val="12"/>
      <scheme val="minor"/>
    </font>
    <font>
      <name val="Aptos Narrow"/>
      <family val="2"/>
      <b val="1"/>
      <color rgb="FFFF0000"/>
      <sz val="11"/>
      <scheme val="minor"/>
    </font>
    <font>
      <name val="Tahoma"/>
      <family val="2"/>
      <b val="1"/>
      <color indexed="81"/>
      <sz val="9"/>
    </font>
    <font>
      <name val="Tahoma"/>
      <family val="2"/>
      <color indexed="81"/>
      <sz val="9"/>
    </font>
    <font>
      <name val="Aptos Narrow"/>
      <family val="2"/>
      <b val="1"/>
      <color rgb="FF000000"/>
      <sz val="14"/>
      <scheme val="minor"/>
    </font>
    <font>
      <name val="Aptos Narrow"/>
      <family val="2"/>
      <b val="1"/>
      <color rgb="FF000000"/>
      <sz val="11"/>
      <scheme val="minor"/>
    </font>
    <font>
      <name val="Aptos Narrow"/>
      <family val="2"/>
      <color theme="1"/>
      <sz val="9"/>
      <scheme val="minor"/>
    </font>
    <font>
      <name val="Aptos Narrow"/>
      <family val="2"/>
      <b val="1"/>
      <color theme="5" tint="-0.499984740745262"/>
      <sz val="11"/>
      <scheme val="minor"/>
    </font>
    <font>
      <name val="Aptos Narrow"/>
      <family val="2"/>
      <b val="1"/>
      <sz val="12"/>
      <scheme val="minor"/>
    </font>
    <font>
      <name val="Aptos Narrow"/>
      <family val="2"/>
      <b val="1"/>
      <color rgb="FF000000"/>
      <sz val="12"/>
      <scheme val="minor"/>
    </font>
    <font>
      <name val="Aptos Narrow"/>
      <family val="2"/>
      <b val="1"/>
      <color theme="5" tint="-0.499984740745262"/>
      <sz val="12"/>
      <scheme val="minor"/>
    </font>
    <font>
      <name val="Aptos Narrow"/>
      <family val="2"/>
      <b val="1"/>
      <color rgb="FFFFFFFF"/>
      <sz val="10"/>
      <scheme val="minor"/>
    </font>
    <font>
      <name val="Aptos Narrow"/>
      <family val="2"/>
      <b val="1"/>
      <color rgb="FFFFEB3B"/>
      <sz val="14"/>
      <scheme val="minor"/>
    </font>
    <font>
      <name val="Aptos Narrow"/>
      <family val="2"/>
      <b val="1"/>
      <color rgb="FFFFFFFF"/>
      <sz val="13"/>
      <scheme val="minor"/>
    </font>
    <font>
      <name val="Aptos Narrow"/>
      <family val="2"/>
      <color rgb="FF212121"/>
      <sz val="11"/>
      <scheme val="minor"/>
    </font>
    <font>
      <name val="Aptos Narrow"/>
      <family val="2"/>
      <b val="1"/>
      <color rgb="FF212121"/>
      <sz val="10"/>
      <scheme val="minor"/>
    </font>
    <font>
      <name val="Aptos Narrow"/>
      <family val="2"/>
      <color rgb="FF757575"/>
      <sz val="9"/>
      <scheme val="minor"/>
    </font>
    <font>
      <name val="Aptos Narrow"/>
      <family val="2"/>
      <b val="1"/>
      <color rgb="FF1A237E"/>
      <sz val="12"/>
      <scheme val="minor"/>
    </font>
    <font>
      <name val="Aptos Narrow"/>
      <family val="2"/>
      <b val="1"/>
      <color rgb="FFBF360C"/>
      <sz val="18"/>
      <scheme val="minor"/>
    </font>
    <font>
      <name val="Aptos Narrow"/>
      <family val="2"/>
      <b val="1"/>
      <i val="1"/>
      <color rgb="FF1F4E79"/>
      <sz val="9"/>
      <scheme val="minor"/>
    </font>
    <font>
      <name val="Aptos Narrow"/>
      <family val="2"/>
      <i val="1"/>
      <color rgb="FF666666"/>
      <sz val="11"/>
      <scheme val="minor"/>
    </font>
    <font>
      <name val="Aptos Narrow"/>
      <family val="2"/>
      <b val="1"/>
      <color rgb="FF1F4E79"/>
      <sz val="12"/>
      <scheme val="minor"/>
    </font>
    <font>
      <name val="Aptos Narrow"/>
      <family val="2"/>
      <b val="1"/>
      <color rgb="FF666666"/>
      <sz val="14"/>
      <scheme val="minor"/>
    </font>
    <font>
      <name val="Aptos Narrow"/>
      <family val="2"/>
      <color rgb="FF2E7D32"/>
      <sz val="11"/>
      <scheme val="minor"/>
    </font>
    <font>
      <name val="Aptos Narrow"/>
      <family val="2"/>
      <b val="1"/>
      <color rgb="FFFF0000"/>
      <sz val="16"/>
      <scheme val="minor"/>
    </font>
    <font>
      <name val="Aptos Narrow"/>
      <family val="2"/>
      <b val="1"/>
      <color theme="4" tint="-0.249977111117893"/>
      <sz val="12"/>
      <scheme val="minor"/>
    </font>
    <font>
      <name val="Aptos Narrow"/>
      <family val="2"/>
      <color theme="4" tint="-0.249977111117893"/>
      <sz val="12"/>
      <scheme val="minor"/>
    </font>
    <font>
      <name val="Aptos Narrow"/>
      <family val="2"/>
      <color rgb="FFFF0000"/>
      <sz val="11"/>
      <u val="single"/>
      <scheme val="minor"/>
    </font>
    <font>
      <name val="Aptos Narrow"/>
      <family val="2"/>
      <color theme="1"/>
      <sz val="11"/>
      <u val="single"/>
      <scheme val="minor"/>
    </font>
    <font>
      <name val="Aptos Narrow"/>
      <family val="2"/>
      <color rgb="FF212121"/>
      <sz val="10"/>
      <scheme val="minor"/>
    </font>
    <font>
      <name val="Aptos Narrow"/>
      <family val="2"/>
      <color rgb="FF666666"/>
      <sz val="10"/>
      <scheme val="minor"/>
    </font>
    <font>
      <name val="Aptos Narrow"/>
      <family val="2"/>
      <i val="1"/>
      <color rgb="FFCC0000"/>
      <sz val="9"/>
      <scheme val="minor"/>
    </font>
    <font>
      <name val="Aptos Narrow"/>
      <family val="2"/>
      <b val="1"/>
      <color rgb="FFFFFFFF"/>
      <sz val="12"/>
      <scheme val="minor"/>
    </font>
    <font>
      <name val="Aptos Narrow"/>
      <family val="2"/>
      <b val="1"/>
      <i val="1"/>
      <color theme="1"/>
      <sz val="9"/>
      <scheme val="minor"/>
    </font>
    <font>
      <name val="Aptos Narrow"/>
      <family val="2"/>
      <i val="1"/>
      <color theme="1"/>
      <sz val="9"/>
      <scheme val="minor"/>
    </font>
    <font>
      <name val="Aptos Narrow"/>
      <family val="2"/>
      <b val="1"/>
      <color rgb="FF0070FF"/>
      <sz val="11"/>
      <scheme val="minor"/>
    </font>
    <font>
      <name val="Aptos Narrow"/>
      <family val="2"/>
      <b val="1"/>
      <color rgb="FFFFFFFF"/>
      <sz val="14"/>
      <scheme val="minor"/>
    </font>
    <font>
      <name val="Aptos Narrow"/>
      <family val="2"/>
      <color theme="1"/>
      <sz val="10"/>
      <scheme val="minor"/>
    </font>
    <font>
      <name val="Aptos Narrow"/>
      <family val="2"/>
      <b val="1"/>
      <color rgb="FFE0F2F1"/>
      <sz val="12"/>
      <scheme val="minor"/>
    </font>
    <font>
      <name val="Aptos Narrow"/>
      <family val="2"/>
      <b val="1"/>
      <color theme="1"/>
      <sz val="16"/>
      <scheme val="minor"/>
    </font>
    <font>
      <name val="Calibri"/>
      <family val="2"/>
      <b val="1"/>
      <color rgb="FF1F4E79"/>
      <sz val="18"/>
    </font>
    <font>
      <name val="Calibri"/>
      <family val="2"/>
      <i val="1"/>
      <color rgb="FF5B9BD5"/>
      <sz val="12"/>
    </font>
    <font>
      <name val="Calibri"/>
      <family val="2"/>
      <b val="1"/>
      <color theme="1"/>
      <sz val="14"/>
    </font>
    <font>
      <name val="Calibri"/>
      <family val="2"/>
      <color theme="1"/>
      <sz val="14"/>
    </font>
    <font>
      <name val="Calibri"/>
      <family val="2"/>
      <color theme="1"/>
      <sz val="10"/>
    </font>
    <font>
      <name val="Calibri"/>
      <family val="2"/>
      <b val="1"/>
      <color rgb="FFFFFFFF"/>
      <sz val="14"/>
    </font>
    <font>
      <name val="Calibri"/>
      <family val="2"/>
      <b val="1"/>
      <color theme="1"/>
      <sz val="11"/>
    </font>
    <font>
      <name val="Calibri"/>
      <family val="2"/>
      <i val="1"/>
      <color theme="1"/>
      <sz val="11"/>
    </font>
    <font>
      <name val="Calibri"/>
      <family val="2"/>
      <b val="1"/>
      <color rgb="FF000000"/>
      <sz val="14"/>
    </font>
    <font>
      <name val="Calibri"/>
      <family val="2"/>
      <i val="1"/>
      <color rgb="FF808080"/>
      <sz val="11"/>
    </font>
    <font>
      <name val="Aptos Narrow"/>
      <family val="2"/>
      <sz val="8"/>
      <scheme val="minor"/>
    </font>
  </fonts>
  <fills count="83">
    <fill>
      <patternFill/>
    </fill>
    <fill>
      <patternFill patternType="gray125"/>
    </fill>
    <fill>
      <patternFill patternType="solid">
        <fgColor theme="2"/>
        <bgColor indexed="64"/>
      </patternFill>
    </fill>
    <fill>
      <patternFill patternType="solid">
        <fgColor theme="1" tint="0.0499893185216834"/>
        <bgColor indexed="64"/>
      </patternFill>
    </fill>
    <fill>
      <patternFill patternType="solid">
        <fgColor rgb="FF1F4E79"/>
        <bgColor indexed="64"/>
      </patternFill>
    </fill>
    <fill>
      <patternFill patternType="solid">
        <fgColor rgb="FF2E75B6"/>
        <bgColor indexed="64"/>
      </patternFill>
    </fill>
    <fill>
      <patternFill patternType="solid">
        <fgColor rgb="FF4472C4"/>
        <bgColor indexed="64"/>
      </patternFill>
    </fill>
    <fill>
      <patternFill patternType="solid">
        <fgColor rgb="FFD6DCE5"/>
        <bgColor indexed="64"/>
      </patternFill>
    </fill>
    <fill>
      <patternFill patternType="solid">
        <fgColor rgb="FFE9EEF4"/>
        <bgColor indexed="64"/>
      </patternFill>
    </fill>
    <fill>
      <patternFill patternType="solid">
        <fgColor rgb="FF92D050"/>
        <bgColor indexed="64"/>
      </patternFill>
    </fill>
    <fill>
      <patternFill patternType="solid">
        <fgColor rgb="FF5B9BD5"/>
        <bgColor indexed="64"/>
      </patternFill>
    </fill>
    <fill>
      <patternFill patternType="solid">
        <fgColor theme="5" tint="0.7999816888943144"/>
        <bgColor indexed="64"/>
      </patternFill>
    </fill>
    <fill>
      <patternFill patternType="solid">
        <fgColor rgb="FFFFFF00"/>
        <bgColor indexed="64"/>
      </patternFill>
    </fill>
    <fill>
      <patternFill patternType="solid">
        <fgColor theme="9"/>
      </patternFill>
    </fill>
    <fill>
      <patternFill patternType="solid">
        <fgColor rgb="FFC6EFCE"/>
      </patternFill>
    </fill>
    <fill>
      <patternFill patternType="solid">
        <fgColor rgb="FFFFC7CE"/>
      </patternFill>
    </fill>
    <fill>
      <patternFill patternType="solid">
        <fgColor theme="4" tint="0.3999755851924192"/>
        <bgColor indexed="65"/>
      </patternFill>
    </fill>
    <fill>
      <patternFill patternType="solid">
        <fgColor rgb="FF70AD47"/>
        <bgColor indexed="64"/>
      </patternFill>
    </fill>
    <fill>
      <patternFill patternType="solid">
        <fgColor rgb="FFFFC000"/>
        <bgColor indexed="64"/>
      </patternFill>
    </fill>
    <fill>
      <patternFill patternType="solid">
        <fgColor theme="4" tint="0.5999938962981048"/>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rgb="FF00B0F0"/>
        <bgColor indexed="64"/>
      </patternFill>
    </fill>
    <fill>
      <patternFill patternType="solid">
        <fgColor theme="0"/>
        <bgColor indexed="64"/>
      </patternFill>
    </fill>
    <fill>
      <patternFill patternType="solid">
        <fgColor theme="4" tint="0.7999816888943144"/>
        <bgColor indexed="65"/>
      </patternFill>
    </fill>
    <fill>
      <patternFill patternType="solid">
        <fgColor theme="4" tint="0.5999938962981048"/>
        <bgColor indexed="65"/>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3" tint="0.749992370372631"/>
        <bgColor indexed="64"/>
      </patternFill>
    </fill>
    <fill>
      <patternFill patternType="solid">
        <fgColor rgb="FFFFFFFF"/>
        <bgColor indexed="64"/>
      </patternFill>
    </fill>
    <fill>
      <patternFill patternType="solid">
        <fgColor theme="8" tint="0.7999816888943144"/>
        <bgColor indexed="64"/>
      </patternFill>
    </fill>
    <fill>
      <patternFill patternType="solid">
        <fgColor theme="6" tint="0.3999755851924192"/>
        <bgColor rgb="FF000000"/>
      </patternFill>
    </fill>
    <fill>
      <patternFill patternType="solid">
        <fgColor theme="4" tint="0.3999755851924192"/>
        <bgColor rgb="FF000000"/>
      </patternFill>
    </fill>
    <fill>
      <patternFill patternType="solid">
        <fgColor rgb="FFFFC000"/>
        <bgColor rgb="FF000000"/>
      </patternFill>
    </fill>
    <fill>
      <patternFill patternType="solid">
        <fgColor theme="9" tint="0.7999816888943144"/>
        <bgColor indexed="64"/>
      </patternFill>
    </fill>
    <fill>
      <patternFill patternType="solid">
        <fgColor theme="5" tint="0.7999816888943144"/>
        <bgColor rgb="FF000000"/>
      </patternFill>
    </fill>
    <fill>
      <patternFill patternType="solid">
        <fgColor rgb="FFFFFFCC"/>
        <bgColor indexed="64"/>
      </patternFill>
    </fill>
    <fill>
      <patternFill patternType="solid">
        <fgColor theme="4" tint="0.5999938962981048"/>
        <bgColor rgb="FF000000"/>
      </patternFill>
    </fill>
    <fill>
      <patternFill patternType="solid">
        <fgColor theme="6"/>
        <bgColor rgb="FF000000"/>
      </patternFill>
    </fill>
    <fill>
      <patternFill patternType="solid">
        <fgColor rgb="FFFFFF00"/>
        <bgColor rgb="FF000000"/>
      </patternFill>
    </fill>
    <fill>
      <patternFill patternType="solid">
        <fgColor theme="5"/>
        <bgColor rgb="FF000000"/>
      </patternFill>
    </fill>
    <fill>
      <patternFill patternType="solid">
        <fgColor theme="7" tint="0.5999938962981048"/>
        <bgColor rgb="FF000000"/>
      </patternFill>
    </fill>
    <fill>
      <patternFill patternType="solid">
        <fgColor rgb="FF3D3D3D"/>
        <bgColor indexed="64"/>
      </patternFill>
    </fill>
    <fill>
      <patternFill patternType="solid">
        <fgColor rgb="FF2E7D32"/>
        <bgColor indexed="64"/>
      </patternFill>
    </fill>
    <fill>
      <patternFill patternType="solid">
        <fgColor rgb="FF1B5E20"/>
        <bgColor indexed="64"/>
      </patternFill>
    </fill>
    <fill>
      <patternFill patternType="solid">
        <fgColor rgb="FF5A5A5A"/>
        <bgColor indexed="64"/>
      </patternFill>
    </fill>
    <fill>
      <patternFill patternType="solid">
        <fgColor rgb="FFE8E8E8"/>
        <bgColor indexed="64"/>
      </patternFill>
    </fill>
    <fill>
      <patternFill patternType="solid">
        <fgColor rgb="FFB8C9A3"/>
        <bgColor indexed="64"/>
      </patternFill>
    </fill>
    <fill>
      <patternFill patternType="solid">
        <fgColor rgb="FFFF5722"/>
        <bgColor indexed="64"/>
      </patternFill>
    </fill>
    <fill>
      <patternFill patternType="solid">
        <fgColor rgb="FFFFCCBC"/>
        <bgColor indexed="64"/>
      </patternFill>
    </fill>
    <fill>
      <patternFill patternType="solid">
        <fgColor rgb="FFFFF3E0"/>
        <bgColor indexed="64"/>
      </patternFill>
    </fill>
    <fill>
      <patternFill patternType="solid">
        <fgColor theme="1"/>
        <bgColor indexed="64"/>
      </patternFill>
    </fill>
    <fill>
      <patternFill patternType="solid">
        <fgColor rgb="FFC00000"/>
        <bgColor indexed="64"/>
      </patternFill>
    </fill>
    <fill>
      <patternFill patternType="solid">
        <fgColor rgb="FFE8F4FD"/>
        <bgColor indexed="64"/>
      </patternFill>
    </fill>
    <fill>
      <patternFill patternType="solid">
        <fgColor rgb="FFE8F5E9"/>
        <bgColor indexed="64"/>
      </patternFill>
    </fill>
    <fill>
      <patternFill patternType="solid">
        <fgColor rgb="FFFFEB9C"/>
        <bgColor indexed="64"/>
      </patternFill>
    </fill>
    <fill>
      <patternFill patternType="solid">
        <fgColor rgb="FFFFF9E6"/>
        <bgColor indexed="64"/>
      </patternFill>
    </fill>
    <fill>
      <patternFill patternType="solid">
        <fgColor rgb="FFC6EFCE"/>
        <bgColor indexed="64"/>
      </patternFill>
    </fill>
    <fill>
      <patternFill patternType="solid">
        <fgColor rgb="FFD6DCE4"/>
        <bgColor indexed="64"/>
      </patternFill>
    </fill>
    <fill>
      <patternFill patternType="solid">
        <fgColor rgb="FFE2EFDA"/>
        <bgColor indexed="64"/>
      </patternFill>
    </fill>
    <fill>
      <patternFill patternType="solid">
        <fgColor rgb="FFF2F2F2"/>
        <bgColor indexed="64"/>
      </patternFill>
    </fill>
    <fill>
      <patternFill patternType="solid">
        <fgColor rgb="FFBDD7EE"/>
        <bgColor indexed="64"/>
      </patternFill>
    </fill>
    <fill>
      <patternFill patternType="solid">
        <fgColor rgb="FFDDEBF7"/>
        <bgColor indexed="64"/>
      </patternFill>
    </fill>
    <fill>
      <patternFill patternType="solid">
        <fgColor rgb="FF375623"/>
        <bgColor indexed="64"/>
      </patternFill>
    </fill>
    <fill>
      <patternFill patternType="solid">
        <fgColor rgb="FFD8E4BC"/>
        <bgColor indexed="64"/>
      </patternFill>
    </fill>
    <fill>
      <patternFill patternType="solid">
        <fgColor rgb="FFFFF2CC"/>
        <bgColor indexed="64"/>
      </patternFill>
    </fill>
    <fill>
      <patternFill patternType="solid">
        <fgColor rgb="FF548235"/>
        <bgColor indexed="64"/>
      </patternFill>
    </fill>
    <fill>
      <patternFill patternType="solid">
        <fgColor rgb="FFC6E0B4"/>
        <bgColor indexed="64"/>
      </patternFill>
    </fill>
    <fill>
      <patternFill patternType="solid">
        <fgColor rgb="FF7030A0"/>
        <bgColor indexed="64"/>
      </patternFill>
    </fill>
    <fill>
      <patternFill patternType="solid">
        <fgColor rgb="FFE4DFEC"/>
        <bgColor indexed="64"/>
      </patternFill>
    </fill>
    <fill>
      <patternFill patternType="solid">
        <fgColor rgb="FFFCE4D6"/>
        <bgColor indexed="64"/>
      </patternFill>
    </fill>
    <fill>
      <patternFill patternType="solid">
        <fgColor rgb="FF9370DB"/>
        <bgColor indexed="64"/>
      </patternFill>
    </fill>
    <fill>
      <patternFill patternType="solid">
        <fgColor rgb="FFD9C4EC"/>
        <bgColor indexed="64"/>
      </patternFill>
    </fill>
    <fill>
      <patternFill patternType="solid">
        <fgColor rgb="FFEAE0F1"/>
        <bgColor indexed="64"/>
      </patternFill>
    </fill>
    <fill>
      <patternFill patternType="solid">
        <fgColor rgb="FFFFD966"/>
        <bgColor indexed="64"/>
      </patternFill>
    </fill>
    <fill>
      <patternFill patternType="solid">
        <fgColor rgb="FFED7D31"/>
        <bgColor indexed="64"/>
      </patternFill>
    </fill>
    <fill>
      <patternFill patternType="solid">
        <fgColor rgb="FFE2D0F0"/>
        <bgColor indexed="64"/>
      </patternFill>
    </fill>
    <fill>
      <patternFill patternType="solid">
        <fgColor rgb="FFDAEEF3"/>
        <bgColor indexed="64"/>
      </patternFill>
    </fill>
    <fill>
      <patternFill patternType="solid">
        <fgColor rgb="FFA9D08E"/>
        <bgColor indexed="64"/>
      </patternFill>
    </fill>
    <fill>
      <patternFill patternType="solid">
        <fgColor rgb="FF8FAADC"/>
        <bgColor indexed="64"/>
      </patternFill>
    </fill>
    <fill>
      <patternFill patternType="solid">
        <fgColor rgb="FFFF6B6B"/>
        <bgColor indexed="64"/>
      </patternFill>
    </fill>
    <fill>
      <patternFill patternType="solid">
        <fgColor rgb="FFFFCCCC"/>
        <bgColor indexed="64"/>
      </patternFill>
    </fill>
  </fills>
  <borders count="135">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auto="1"/>
      </left>
      <right style="thin">
        <color rgb="FFB4C6E7"/>
      </right>
      <top/>
      <bottom/>
      <diagonal/>
    </border>
    <border>
      <left style="thin">
        <color rgb="FFB4C6E7"/>
      </left>
      <right style="thin">
        <color rgb="FFB4C6E7"/>
      </right>
      <top/>
      <bottom/>
      <diagonal/>
    </border>
    <border>
      <left style="thin">
        <color rgb="FFB4C6E7"/>
      </left>
      <right style="thin">
        <color auto="1"/>
      </right>
      <top/>
      <bottom/>
      <diagonal/>
    </border>
    <border>
      <left style="thin">
        <color auto="1"/>
      </left>
      <right style="thin">
        <color rgb="FFB4C6E7"/>
      </right>
      <top/>
      <bottom style="double">
        <color indexed="64"/>
      </bottom>
      <diagonal/>
    </border>
    <border>
      <left style="thin">
        <color rgb="FFB4C6E7"/>
      </left>
      <right style="thin">
        <color rgb="FFB4C6E7"/>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B4C6E7"/>
      </right>
      <top/>
      <bottom/>
      <diagonal/>
    </border>
    <border>
      <left style="thin">
        <color rgb="FFB4C6E7"/>
      </left>
      <right/>
      <top/>
      <bottom/>
      <diagonal/>
    </border>
    <border>
      <left style="thin">
        <color auto="1"/>
      </left>
      <right/>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theme="4"/>
      </left>
      <right style="thin">
        <color theme="4"/>
      </right>
      <top/>
      <bottom/>
      <diagonal/>
    </border>
    <border>
      <left style="thin">
        <color theme="4"/>
      </left>
      <right/>
      <top/>
      <bottom style="medium">
        <color theme="4"/>
      </bottom>
      <diagonal/>
    </border>
    <border>
      <left style="thin">
        <color theme="0"/>
      </left>
      <right/>
      <top/>
      <bottom style="double">
        <color indexed="64"/>
      </bottom>
      <diagonal/>
    </border>
    <border>
      <left style="thin">
        <color indexed="64"/>
      </left>
      <right style="thin">
        <color theme="4"/>
      </right>
      <top style="thin">
        <color indexed="64"/>
      </top>
      <bottom style="medium">
        <color theme="4"/>
      </bottom>
      <diagonal/>
    </border>
    <border>
      <left style="thin">
        <color auto="1"/>
      </left>
      <right/>
      <top style="thin">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theme="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style="thin">
        <color theme="4"/>
      </right>
      <top style="thin">
        <color indexed="64"/>
      </top>
      <bottom/>
      <diagonal/>
    </border>
    <border>
      <left style="medium">
        <color indexed="64"/>
      </left>
      <right/>
      <top/>
      <bottom/>
      <diagonal/>
    </border>
    <border>
      <left/>
      <right style="thin">
        <color theme="0"/>
      </right>
      <top/>
      <bottom style="double">
        <color indexed="64"/>
      </bottom>
      <diagonal/>
    </border>
    <border>
      <left style="thin">
        <color theme="0"/>
      </left>
      <right style="thin">
        <color theme="0"/>
      </right>
      <top/>
      <bottom style="double">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rgb="FF3D3D3D"/>
      </right>
      <top/>
      <bottom/>
      <diagonal/>
    </border>
    <border>
      <left/>
      <right/>
      <top style="thin">
        <color rgb="FF9E9E9E"/>
      </top>
      <bottom style="thin">
        <color rgb="FF9E9E9E"/>
      </bottom>
      <diagonal/>
    </border>
    <border>
      <left/>
      <right/>
      <top style="thin">
        <color rgb="FF9E9E9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ck">
        <color rgb="FF3D3D3D"/>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9E9E9E"/>
      </right>
      <top/>
      <bottom/>
      <diagonal/>
    </border>
    <border>
      <left style="thin">
        <color rgb="FF9E9E9E"/>
      </left>
      <right style="medium">
        <color indexed="64"/>
      </right>
      <top/>
      <bottom/>
      <diagonal/>
    </border>
    <border>
      <left style="medium">
        <color indexed="64"/>
      </left>
      <right style="thin">
        <color rgb="FF9E9E9E"/>
      </right>
      <top style="thin">
        <color rgb="FFBDBDBD"/>
      </top>
      <bottom/>
      <diagonal/>
    </border>
    <border>
      <left style="thin">
        <color rgb="FF9E9E9E"/>
      </left>
      <right style="medium">
        <color indexed="64"/>
      </right>
      <top style="thin">
        <color rgb="FFBDBDBD"/>
      </top>
      <bottom/>
      <diagonal/>
    </border>
    <border>
      <left style="medium">
        <color indexed="64"/>
      </left>
      <right style="thin">
        <color rgb="FF9E9E9E"/>
      </right>
      <top style="thin">
        <color rgb="FFBDBDBD"/>
      </top>
      <bottom style="thin">
        <color rgb="FFBDBDBD"/>
      </bottom>
      <diagonal/>
    </border>
    <border>
      <left style="thin">
        <color rgb="FF9E9E9E"/>
      </left>
      <right style="medium">
        <color indexed="64"/>
      </right>
      <top style="thin">
        <color rgb="FFBDBDBD"/>
      </top>
      <bottom style="thin">
        <color rgb="FFBDBDBD"/>
      </bottom>
      <diagonal/>
    </border>
    <border>
      <left/>
      <right style="thin">
        <color theme="4"/>
      </right>
      <top style="thin">
        <color theme="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thin">
        <color rgb="FF5A5A5A"/>
      </bottom>
      <diagonal/>
    </border>
    <border>
      <left style="thin">
        <color rgb="FF5A5A5A"/>
      </left>
      <right/>
      <top/>
      <bottom/>
      <diagonal/>
    </border>
    <border>
      <left style="thin">
        <color rgb="FF5A5A5A"/>
      </left>
      <right/>
      <top/>
      <bottom style="thin">
        <color rgb="FF5A5A5A"/>
      </bottom>
      <diagonal/>
    </border>
    <border>
      <left/>
      <right style="thin">
        <color rgb="FF5A5A5A"/>
      </right>
      <top/>
      <bottom/>
      <diagonal/>
    </border>
    <border>
      <left/>
      <right style="thin">
        <color rgb="FF5A5A5A"/>
      </right>
      <top/>
      <bottom style="thin">
        <color rgb="FF5A5A5A"/>
      </bottom>
      <diagonal/>
    </border>
    <border>
      <left/>
      <right/>
      <top style="thin">
        <color rgb="FFCCCCCC"/>
      </top>
      <bottom style="thin">
        <color rgb="FFCCCCCC"/>
      </bottom>
      <diagonal/>
    </border>
    <border>
      <left style="thin">
        <color rgb="FF5A5A5A"/>
      </left>
      <right/>
      <top style="thin">
        <color rgb="FFCCCCCC"/>
      </top>
      <bottom style="thin">
        <color rgb="FFCCCCCC"/>
      </bottom>
      <diagonal/>
    </border>
    <border>
      <left/>
      <right style="thin">
        <color rgb="FF5A5A5A"/>
      </right>
      <top style="thin">
        <color rgb="FFCCCCCC"/>
      </top>
      <bottom style="thin">
        <color rgb="FFCCCCCC"/>
      </bottom>
      <diagonal/>
    </border>
    <border>
      <left/>
      <right/>
      <top style="double">
        <color indexed="64"/>
      </top>
      <bottom/>
      <diagonal/>
    </border>
    <border>
      <left style="medium">
        <color rgb="FF1F4E79"/>
      </left>
      <right style="thin">
        <color rgb="FF9DC3E6"/>
      </right>
      <top style="medium">
        <color rgb="FF1F4E79"/>
      </top>
      <bottom style="thin">
        <color rgb="FF9DC3E6"/>
      </bottom>
      <diagonal/>
    </border>
    <border>
      <left style="thin">
        <color rgb="FF9DC3E6"/>
      </left>
      <right style="thin">
        <color rgb="FF9DC3E6"/>
      </right>
      <top style="medium">
        <color rgb="FF1F4E79"/>
      </top>
      <bottom style="thin">
        <color rgb="FF9DC3E6"/>
      </bottom>
      <diagonal/>
    </border>
    <border>
      <left style="thin">
        <color rgb="FF9DC3E6"/>
      </left>
      <right style="medium">
        <color rgb="FF1F4E79"/>
      </right>
      <top style="medium">
        <color rgb="FF1F4E79"/>
      </top>
      <bottom style="thin">
        <color rgb="FF9DC3E6"/>
      </bottom>
      <diagonal/>
    </border>
    <border>
      <left style="medium">
        <color rgb="FF1F4E79"/>
      </left>
      <right style="thin">
        <color rgb="FF9DC3E6"/>
      </right>
      <top style="thin">
        <color rgb="FF9DC3E6"/>
      </top>
      <bottom style="thin">
        <color rgb="FF9DC3E6"/>
      </bottom>
      <diagonal/>
    </border>
    <border>
      <left style="thin">
        <color rgb="FF9DC3E6"/>
      </left>
      <right style="thin">
        <color rgb="FF9DC3E6"/>
      </right>
      <top style="thin">
        <color rgb="FF9DC3E6"/>
      </top>
      <bottom style="thin">
        <color rgb="FF9DC3E6"/>
      </bottom>
      <diagonal/>
    </border>
    <border>
      <left style="thin">
        <color rgb="FF9DC3E6"/>
      </left>
      <right style="medium">
        <color rgb="FF1F4E79"/>
      </right>
      <top style="thin">
        <color rgb="FF9DC3E6"/>
      </top>
      <bottom style="thin">
        <color rgb="FF9DC3E6"/>
      </bottom>
      <diagonal/>
    </border>
    <border>
      <left style="medium">
        <color rgb="FF1F4E79"/>
      </left>
      <right style="thin">
        <color rgb="FF9DC3E6"/>
      </right>
      <top style="thin">
        <color rgb="FF9DC3E6"/>
      </top>
      <bottom style="medium">
        <color rgb="FF1F4E79"/>
      </bottom>
      <diagonal/>
    </border>
    <border>
      <left style="thin">
        <color rgb="FF9DC3E6"/>
      </left>
      <right style="thin">
        <color rgb="FF9DC3E6"/>
      </right>
      <top style="thin">
        <color rgb="FF9DC3E6"/>
      </top>
      <bottom style="medium">
        <color rgb="FF1F4E79"/>
      </bottom>
      <diagonal/>
    </border>
    <border>
      <left style="thin">
        <color rgb="FF9DC3E6"/>
      </left>
      <right style="medium">
        <color rgb="FF1F4E79"/>
      </right>
      <top style="thin">
        <color rgb="FF9DC3E6"/>
      </top>
      <bottom style="medium">
        <color rgb="FF1F4E79"/>
      </bottom>
      <diagonal/>
    </border>
    <border>
      <left style="medium">
        <color rgb="FF375623"/>
      </left>
      <right style="thin">
        <color rgb="FFA9D08E"/>
      </right>
      <top style="medium">
        <color rgb="FF375623"/>
      </top>
      <bottom style="thin">
        <color rgb="FFA9D08E"/>
      </bottom>
      <diagonal/>
    </border>
    <border>
      <left style="thin">
        <color rgb="FFA9D08E"/>
      </left>
      <right style="thin">
        <color rgb="FFA9D08E"/>
      </right>
      <top style="medium">
        <color rgb="FF375623"/>
      </top>
      <bottom style="thin">
        <color rgb="FFA9D08E"/>
      </bottom>
      <diagonal/>
    </border>
    <border>
      <left style="thin">
        <color rgb="FFA9D08E"/>
      </left>
      <right style="medium">
        <color rgb="FF375623"/>
      </right>
      <top style="medium">
        <color rgb="FF375623"/>
      </top>
      <bottom style="thin">
        <color rgb="FFA9D08E"/>
      </bottom>
      <diagonal/>
    </border>
    <border>
      <left style="medium">
        <color rgb="FF375623"/>
      </left>
      <right style="thin">
        <color rgb="FFA9D08E"/>
      </right>
      <top style="thin">
        <color rgb="FFA9D08E"/>
      </top>
      <bottom style="thin">
        <color rgb="FFA9D08E"/>
      </bottom>
      <diagonal/>
    </border>
    <border>
      <left style="thin">
        <color rgb="FFA9D08E"/>
      </left>
      <right style="thin">
        <color rgb="FFA9D08E"/>
      </right>
      <top style="thin">
        <color rgb="FFA9D08E"/>
      </top>
      <bottom style="thin">
        <color rgb="FFA9D08E"/>
      </bottom>
      <diagonal/>
    </border>
    <border>
      <left style="thin">
        <color rgb="FFA9D08E"/>
      </left>
      <right style="medium">
        <color rgb="FF375623"/>
      </right>
      <top style="thin">
        <color rgb="FFA9D08E"/>
      </top>
      <bottom style="thin">
        <color rgb="FFA9D08E"/>
      </bottom>
      <diagonal/>
    </border>
    <border>
      <left style="medium">
        <color rgb="FF375623"/>
      </left>
      <right style="thin">
        <color rgb="FFA9D08E"/>
      </right>
      <top style="thin">
        <color rgb="FFA9D08E"/>
      </top>
      <bottom style="medium">
        <color rgb="FF375623"/>
      </bottom>
      <diagonal/>
    </border>
    <border>
      <left style="thin">
        <color rgb="FFA9D08E"/>
      </left>
      <right style="thin">
        <color rgb="FFA9D08E"/>
      </right>
      <top style="thin">
        <color rgb="FFA9D08E"/>
      </top>
      <bottom style="medium">
        <color rgb="FF375623"/>
      </bottom>
      <diagonal/>
    </border>
    <border>
      <left style="thin">
        <color rgb="FFA9D08E"/>
      </left>
      <right style="medium">
        <color rgb="FF375623"/>
      </right>
      <top style="thin">
        <color rgb="FFA9D08E"/>
      </top>
      <bottom style="medium">
        <color rgb="FF375623"/>
      </bottom>
      <diagonal/>
    </border>
    <border>
      <left style="medium">
        <color rgb="FF7030A0"/>
      </left>
      <right style="thin">
        <color rgb="FFC9A0DC"/>
      </right>
      <top style="medium">
        <color rgb="FF7030A0"/>
      </top>
      <bottom style="thin">
        <color rgb="FFC9A0DC"/>
      </bottom>
      <diagonal/>
    </border>
    <border>
      <left style="thin">
        <color rgb="FFC9A0DC"/>
      </left>
      <right style="thin">
        <color rgb="FFC9A0DC"/>
      </right>
      <top style="medium">
        <color rgb="FF7030A0"/>
      </top>
      <bottom style="thin">
        <color rgb="FFC9A0DC"/>
      </bottom>
      <diagonal/>
    </border>
    <border>
      <left style="thin">
        <color rgb="FFC9A0DC"/>
      </left>
      <right style="medium">
        <color rgb="FF7030A0"/>
      </right>
      <top style="medium">
        <color rgb="FF7030A0"/>
      </top>
      <bottom style="thin">
        <color rgb="FFC9A0DC"/>
      </bottom>
      <diagonal/>
    </border>
    <border>
      <left style="medium">
        <color rgb="FF7030A0"/>
      </left>
      <right style="thin">
        <color rgb="FFC9A0DC"/>
      </right>
      <top style="thin">
        <color rgb="FFC9A0DC"/>
      </top>
      <bottom style="thin">
        <color rgb="FFC9A0DC"/>
      </bottom>
      <diagonal/>
    </border>
    <border>
      <left style="thin">
        <color rgb="FFC9A0DC"/>
      </left>
      <right style="thin">
        <color rgb="FFC9A0DC"/>
      </right>
      <top style="thin">
        <color rgb="FFC9A0DC"/>
      </top>
      <bottom style="thin">
        <color rgb="FFC9A0DC"/>
      </bottom>
      <diagonal/>
    </border>
    <border>
      <left style="thin">
        <color rgb="FFC9A0DC"/>
      </left>
      <right style="medium">
        <color rgb="FF7030A0"/>
      </right>
      <top style="thin">
        <color rgb="FFC9A0DC"/>
      </top>
      <bottom style="thin">
        <color rgb="FFC9A0DC"/>
      </bottom>
      <diagonal/>
    </border>
    <border>
      <left style="medium">
        <color rgb="FF7030A0"/>
      </left>
      <right style="thin">
        <color rgb="FFC9A0DC"/>
      </right>
      <top style="thin">
        <color rgb="FFC9A0DC"/>
      </top>
      <bottom style="medium">
        <color rgb="FF7030A0"/>
      </bottom>
      <diagonal/>
    </border>
    <border>
      <left style="thin">
        <color rgb="FFC9A0DC"/>
      </left>
      <right style="thin">
        <color rgb="FFC9A0DC"/>
      </right>
      <top style="thin">
        <color rgb="FFC9A0DC"/>
      </top>
      <bottom style="medium">
        <color rgb="FF7030A0"/>
      </bottom>
      <diagonal/>
    </border>
    <border>
      <left style="thin">
        <color rgb="FFC9A0DC"/>
      </left>
      <right style="medium">
        <color rgb="FF7030A0"/>
      </right>
      <top style="thin">
        <color rgb="FFC9A0DC"/>
      </top>
      <bottom style="medium">
        <color rgb="FF7030A0"/>
      </bottom>
      <diagonal/>
    </border>
    <border>
      <left style="thin">
        <color rgb="FF5A5A5A"/>
      </left>
      <right style="thin">
        <color rgb="FF5A5A5A"/>
      </right>
      <top/>
      <bottom style="thin">
        <color rgb="FF5A5A5A"/>
      </bottom>
      <diagonal/>
    </border>
    <border>
      <left style="thin">
        <color auto="1"/>
      </left>
      <right style="thin">
        <color indexed="64"/>
      </right>
      <top/>
      <bottom/>
      <diagonal/>
    </border>
    <border>
      <left/>
      <right/>
      <top style="medium">
        <color rgb="FF1F4E79"/>
      </top>
      <bottom/>
      <diagonal/>
    </border>
    <border>
      <left/>
      <right style="thin">
        <color rgb="FF9DC3E6"/>
      </right>
      <top style="medium">
        <color rgb="FF1F4E79"/>
      </top>
      <bottom/>
      <diagonal/>
    </border>
    <border>
      <left/>
      <right/>
      <top style="medium">
        <color rgb="FF1F4E79"/>
      </top>
      <bottom style="thin">
        <color rgb="FF9DC3E6"/>
      </bottom>
      <diagonal/>
    </border>
    <border>
      <left/>
      <right style="thin">
        <color rgb="FF9DC3E6"/>
      </right>
      <top style="medium">
        <color rgb="FF1F4E79"/>
      </top>
      <bottom style="thin">
        <color rgb="FF9DC3E6"/>
      </bottom>
      <diagonal/>
    </border>
    <border>
      <left/>
      <right/>
      <top style="thin">
        <color rgb="FF9DC3E6"/>
      </top>
      <bottom/>
      <diagonal/>
    </border>
    <border>
      <left/>
      <right style="thin">
        <color rgb="FF9DC3E6"/>
      </right>
      <top style="thin">
        <color rgb="FF9DC3E6"/>
      </top>
      <bottom/>
      <diagonal/>
    </border>
    <border>
      <left/>
      <right/>
      <top style="thin">
        <color rgb="FF9DC3E6"/>
      </top>
      <bottom style="thin">
        <color rgb="FF9DC3E6"/>
      </bottom>
      <diagonal/>
    </border>
    <border>
      <left/>
      <right style="thin">
        <color rgb="FF9DC3E6"/>
      </right>
      <top style="thin">
        <color rgb="FF9DC3E6"/>
      </top>
      <bottom style="thin">
        <color rgb="FF9DC3E6"/>
      </bottom>
      <diagonal/>
    </border>
    <border>
      <left/>
      <right/>
      <top style="medium">
        <color rgb="FF375623"/>
      </top>
      <bottom/>
      <diagonal/>
    </border>
    <border>
      <left/>
      <right style="thin">
        <color rgb="FFA9D08E"/>
      </right>
      <top style="medium">
        <color rgb="FF375623"/>
      </top>
      <bottom/>
      <diagonal/>
    </border>
    <border>
      <left/>
      <right/>
      <top style="medium">
        <color rgb="FF375623"/>
      </top>
      <bottom style="thin">
        <color rgb="FFA9D08E"/>
      </bottom>
      <diagonal/>
    </border>
    <border>
      <left/>
      <right style="thin">
        <color rgb="FFA9D08E"/>
      </right>
      <top style="medium">
        <color rgb="FF375623"/>
      </top>
      <bottom style="thin">
        <color rgb="FFA9D08E"/>
      </bottom>
      <diagonal/>
    </border>
    <border>
      <left/>
      <right/>
      <top style="thin">
        <color rgb="FFA9D08E"/>
      </top>
      <bottom/>
      <diagonal/>
    </border>
    <border>
      <left/>
      <right style="thin">
        <color rgb="FFA9D08E"/>
      </right>
      <top style="thin">
        <color rgb="FFA9D08E"/>
      </top>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medium">
        <color rgb="FF7030A0"/>
      </top>
      <bottom/>
      <diagonal/>
    </border>
    <border>
      <left/>
      <right style="thin">
        <color rgb="FFC9A0DC"/>
      </right>
      <top style="medium">
        <color rgb="FF7030A0"/>
      </top>
      <bottom/>
      <diagonal/>
    </border>
    <border>
      <left/>
      <right/>
      <top style="medium">
        <color rgb="FF7030A0"/>
      </top>
      <bottom style="thin">
        <color rgb="FFC9A0DC"/>
      </bottom>
      <diagonal/>
    </border>
    <border>
      <left/>
      <right style="thin">
        <color rgb="FFC9A0DC"/>
      </right>
      <top style="medium">
        <color rgb="FF7030A0"/>
      </top>
      <bottom style="thin">
        <color rgb="FFC9A0DC"/>
      </bottom>
      <diagonal/>
    </border>
    <border>
      <left/>
      <right/>
      <top style="thin">
        <color rgb="FFC9A0DC"/>
      </top>
      <bottom/>
      <diagonal/>
    </border>
    <border>
      <left/>
      <right style="thin">
        <color rgb="FFC9A0DC"/>
      </right>
      <top style="thin">
        <color rgb="FFC9A0DC"/>
      </top>
      <bottom/>
      <diagonal/>
    </border>
    <border>
      <left/>
      <right/>
      <top style="thin">
        <color rgb="FFC9A0DC"/>
      </top>
      <bottom style="thin">
        <color rgb="FFC9A0DC"/>
      </bottom>
      <diagonal/>
    </border>
    <border>
      <left/>
      <right style="thin">
        <color rgb="FFC9A0DC"/>
      </right>
      <top style="thin">
        <color rgb="FFC9A0DC"/>
      </top>
      <bottom style="thin">
        <color rgb="FFC9A0DC"/>
      </bottom>
      <diagonal/>
    </border>
    <border>
      <left/>
      <right/>
      <top style="double">
        <color indexed="64"/>
      </top>
      <bottom style="double">
        <color indexed="64"/>
      </bottom>
      <diagonal/>
    </border>
    <border>
      <left/>
      <right/>
      <top style="thin">
        <color indexed="64"/>
      </top>
      <bottom style="double">
        <color indexed="64"/>
      </bottom>
      <diagonal/>
    </border>
    <border>
      <left style="thin">
        <color indexed="64"/>
      </left>
      <right/>
      <top/>
      <bottom/>
      <diagonal/>
    </border>
  </borders>
  <cellStyleXfs count="19">
    <xf numFmtId="0" fontId="1" fillId="0" borderId="0"/>
    <xf numFmtId="43" fontId="1" fillId="0" borderId="0"/>
    <xf numFmtId="9" fontId="1" fillId="0" borderId="0"/>
    <xf numFmtId="0" fontId="3" fillId="0" borderId="0"/>
    <xf numFmtId="0" fontId="6" fillId="0" borderId="0"/>
    <xf numFmtId="0" fontId="17" fillId="0" borderId="0"/>
    <xf numFmtId="0" fontId="5" fillId="13" borderId="0"/>
    <xf numFmtId="0" fontId="21" fillId="14" borderId="0"/>
    <xf numFmtId="0" fontId="22" fillId="15" borderId="0"/>
    <xf numFmtId="0" fontId="1" fillId="16" borderId="0"/>
    <xf numFmtId="43" fontId="1" fillId="0" borderId="0"/>
    <xf numFmtId="0" fontId="1" fillId="0" borderId="0"/>
    <xf numFmtId="177" fontId="1" fillId="0" borderId="0"/>
    <xf numFmtId="194" fontId="1" fillId="0" borderId="0"/>
    <xf numFmtId="0" fontId="1" fillId="24" borderId="0"/>
    <xf numFmtId="0" fontId="1" fillId="25" borderId="0"/>
    <xf numFmtId="0" fontId="1" fillId="26" borderId="0"/>
    <xf numFmtId="0" fontId="1" fillId="27" borderId="0"/>
    <xf numFmtId="0" fontId="1" fillId="28" borderId="0"/>
  </cellStyleXfs>
  <cellXfs count="631">
    <xf numFmtId="0" fontId="0" fillId="0" borderId="0" pivotButton="0" quotePrefix="0" xfId="0"/>
    <xf numFmtId="0" fontId="7" fillId="2" borderId="2" applyAlignment="1" pivotButton="0" quotePrefix="0" xfId="4">
      <alignment horizontal="center" vertical="center" readingOrder="1"/>
    </xf>
    <xf numFmtId="0" fontId="0" fillId="0" borderId="0" applyAlignment="1" pivotButton="0" quotePrefix="0" xfId="0">
      <alignment horizontal="left"/>
    </xf>
    <xf numFmtId="43" fontId="0" fillId="0" borderId="0" pivotButton="0" quotePrefix="0" xfId="1"/>
    <xf numFmtId="164" fontId="0" fillId="0" borderId="0" pivotButton="0" quotePrefix="0" xfId="1"/>
    <xf numFmtId="9" fontId="0" fillId="0" borderId="0" pivotButton="0" quotePrefix="0" xfId="2"/>
    <xf numFmtId="0" fontId="0" fillId="3" borderId="0" pivotButton="0" quotePrefix="0" xfId="0"/>
    <xf numFmtId="43" fontId="0" fillId="3" borderId="0" pivotButton="0" quotePrefix="0" xfId="0"/>
    <xf numFmtId="43" fontId="0" fillId="0" borderId="0" pivotButton="0" quotePrefix="0" xfId="1"/>
    <xf numFmtId="165" fontId="0" fillId="0" borderId="0" pivotButton="0" quotePrefix="0" xfId="0"/>
    <xf numFmtId="0" fontId="3" fillId="0" borderId="0" pivotButton="0" quotePrefix="0" xfId="3"/>
    <xf numFmtId="0" fontId="10" fillId="5" borderId="1" applyAlignment="1" pivotButton="0" quotePrefix="0" xfId="0">
      <alignment vertical="center"/>
    </xf>
    <xf numFmtId="43" fontId="10" fillId="5" borderId="1" applyAlignment="1" pivotButton="0" quotePrefix="0" xfId="1">
      <alignment vertical="center"/>
    </xf>
    <xf numFmtId="43" fontId="10" fillId="5" borderId="1" applyAlignment="1" pivotButton="0" quotePrefix="0" xfId="1">
      <alignment wrapText="1"/>
    </xf>
    <xf numFmtId="0" fontId="0" fillId="7" borderId="0" pivotButton="0" quotePrefix="0" xfId="0"/>
    <xf numFmtId="43" fontId="0" fillId="7" borderId="0" pivotButton="0" quotePrefix="0" xfId="1"/>
    <xf numFmtId="0" fontId="0" fillId="8" borderId="0" pivotButton="0" quotePrefix="0" xfId="0"/>
    <xf numFmtId="43" fontId="0" fillId="8" borderId="0" pivotButton="0" quotePrefix="0" xfId="1"/>
    <xf numFmtId="0" fontId="11" fillId="10" borderId="0" applyAlignment="1" pivotButton="0" quotePrefix="0" xfId="3">
      <alignment horizontal="left"/>
    </xf>
    <xf numFmtId="0" fontId="11" fillId="10" borderId="0" pivotButton="0" quotePrefix="0" xfId="3"/>
    <xf numFmtId="43" fontId="10" fillId="4" borderId="0" applyAlignment="1" pivotButton="0" quotePrefix="0" xfId="1">
      <alignment horizontal="left"/>
    </xf>
    <xf numFmtId="164" fontId="10" fillId="4" borderId="0" applyAlignment="1" pivotButton="0" quotePrefix="0" xfId="1">
      <alignment horizontal="left"/>
    </xf>
    <xf numFmtId="166" fontId="1" fillId="7" borderId="0" pivotButton="0" quotePrefix="0" xfId="1"/>
    <xf numFmtId="0" fontId="1" fillId="7" borderId="0" pivotButton="0" quotePrefix="0" xfId="0"/>
    <xf numFmtId="167" fontId="1" fillId="7" borderId="0" pivotButton="0" quotePrefix="0" xfId="1"/>
    <xf numFmtId="165" fontId="1" fillId="7" borderId="0" pivotButton="0" quotePrefix="0" xfId="0"/>
    <xf numFmtId="168" fontId="1" fillId="7" borderId="0" pivotButton="0" quotePrefix="0" xfId="0"/>
    <xf numFmtId="43" fontId="1" fillId="7" borderId="0" pivotButton="0" quotePrefix="0" xfId="1"/>
    <xf numFmtId="0" fontId="1" fillId="8" borderId="0" pivotButton="0" quotePrefix="0" xfId="0"/>
    <xf numFmtId="167" fontId="1" fillId="8" borderId="0" pivotButton="0" quotePrefix="0" xfId="1"/>
    <xf numFmtId="165" fontId="1" fillId="8" borderId="0" pivotButton="0" quotePrefix="0" xfId="0"/>
    <xf numFmtId="168" fontId="1" fillId="8" borderId="0" pivotButton="0" quotePrefix="0" xfId="0"/>
    <xf numFmtId="43" fontId="1" fillId="8" borderId="0" pivotButton="0" quotePrefix="0" xfId="1"/>
    <xf numFmtId="0" fontId="12" fillId="6" borderId="2" applyAlignment="1" pivotButton="0" quotePrefix="0" xfId="4">
      <alignment horizontal="center" vertical="center" readingOrder="1"/>
    </xf>
    <xf numFmtId="0" fontId="13" fillId="7" borderId="0" pivotButton="0" quotePrefix="0" xfId="0"/>
    <xf numFmtId="0" fontId="13" fillId="8" borderId="0" pivotButton="0" quotePrefix="0" xfId="0"/>
    <xf numFmtId="43" fontId="0" fillId="0" borderId="4" pivotButton="0" quotePrefix="0" xfId="1"/>
    <xf numFmtId="0" fontId="14" fillId="0" borderId="6" applyAlignment="1" pivotButton="0" quotePrefix="0" xfId="0">
      <alignment horizontal="center" vertical="center"/>
    </xf>
    <xf numFmtId="0" fontId="14" fillId="0" borderId="7" applyAlignment="1" pivotButton="0" quotePrefix="0" xfId="0">
      <alignment horizontal="center" vertical="center"/>
    </xf>
    <xf numFmtId="166" fontId="14" fillId="0" borderId="7" applyAlignment="1" pivotButton="0" quotePrefix="0" xfId="1">
      <alignment horizontal="center" vertical="center"/>
    </xf>
    <xf numFmtId="0" fontId="13" fillId="0" borderId="3" applyAlignment="1" pivotButton="0" quotePrefix="0" xfId="0">
      <alignment horizontal="center"/>
    </xf>
    <xf numFmtId="0" fontId="13" fillId="0" borderId="4" applyAlignment="1" pivotButton="0" quotePrefix="0" xfId="0">
      <alignment horizontal="center"/>
    </xf>
    <xf numFmtId="166" fontId="13" fillId="0" borderId="4" applyAlignment="1" pivotButton="0" quotePrefix="0" xfId="1">
      <alignment horizontal="center"/>
    </xf>
    <xf numFmtId="43" fontId="13" fillId="0" borderId="4" applyAlignment="1" pivotButton="0" quotePrefix="0" xfId="1">
      <alignment horizontal="center"/>
    </xf>
    <xf numFmtId="0" fontId="13" fillId="0" borderId="0" applyAlignment="1" pivotButton="0" quotePrefix="0" xfId="0">
      <alignment horizontal="center"/>
    </xf>
    <xf numFmtId="166" fontId="13" fillId="0" borderId="4" applyAlignment="1" pivotButton="0" quotePrefix="0" xfId="1">
      <alignment horizontal="center" vertical="center"/>
    </xf>
    <xf numFmtId="169" fontId="0" fillId="0" borderId="4" pivotButton="0" quotePrefix="0" xfId="2"/>
    <xf numFmtId="169" fontId="0" fillId="0" borderId="0" pivotButton="0" quotePrefix="0" xfId="2"/>
    <xf numFmtId="0" fontId="4" fillId="0" borderId="0" applyAlignment="1" pivotButton="0" quotePrefix="0" xfId="0">
      <alignment horizontal="center"/>
    </xf>
    <xf numFmtId="0" fontId="0" fillId="0" borderId="0" applyAlignment="1" pivotButton="0" quotePrefix="0" xfId="0">
      <alignment horizontal="center"/>
    </xf>
    <xf numFmtId="166" fontId="0" fillId="0" borderId="0" applyAlignment="1" pivotButton="0" quotePrefix="0" xfId="1">
      <alignment horizontal="center"/>
    </xf>
    <xf numFmtId="166" fontId="1" fillId="8" borderId="0" pivotButton="0" quotePrefix="0" xfId="1"/>
    <xf numFmtId="0" fontId="12" fillId="5" borderId="8" applyAlignment="1" pivotButton="0" quotePrefix="0" xfId="4">
      <alignment horizontal="center" vertical="center" readingOrder="1"/>
    </xf>
    <xf numFmtId="0" fontId="12" fillId="5" borderId="8" applyAlignment="1" pivotButton="0" quotePrefix="0" xfId="4">
      <alignment horizontal="left" vertical="center" readingOrder="1"/>
    </xf>
    <xf numFmtId="0" fontId="4" fillId="0" borderId="0" pivotButton="0" quotePrefix="0" xfId="0"/>
    <xf numFmtId="0" fontId="0" fillId="0" borderId="0" applyAlignment="1" pivotButton="0" quotePrefix="0" xfId="0">
      <alignment horizontal="center" vertical="center"/>
    </xf>
    <xf numFmtId="0" fontId="8" fillId="0" borderId="0" pivotButton="0" quotePrefix="0" xfId="0"/>
    <xf numFmtId="9" fontId="0" fillId="11" borderId="9" applyAlignment="1" pivotButton="0" quotePrefix="0" xfId="2">
      <alignment horizontal="center"/>
    </xf>
    <xf numFmtId="0" fontId="0" fillId="0" borderId="0" applyAlignment="1" pivotButton="0" quotePrefix="0" xfId="0">
      <alignment horizontal="right"/>
    </xf>
    <xf numFmtId="170" fontId="0" fillId="0" borderId="0" pivotButton="0" quotePrefix="0" xfId="0"/>
    <xf numFmtId="43" fontId="13" fillId="0" borderId="10" applyAlignment="1" pivotButton="0" quotePrefix="0" xfId="1">
      <alignment horizontal="center"/>
    </xf>
    <xf numFmtId="166" fontId="13" fillId="0" borderId="11" applyAlignment="1" pivotButton="0" quotePrefix="0" xfId="1">
      <alignment horizontal="center"/>
    </xf>
    <xf numFmtId="169" fontId="0" fillId="0" borderId="0" pivotButton="0" quotePrefix="0" xfId="2"/>
    <xf numFmtId="43" fontId="0" fillId="0" borderId="0" pivotButton="0" quotePrefix="0" xfId="1"/>
    <xf numFmtId="169" fontId="13" fillId="0" borderId="0" pivotButton="0" quotePrefix="0" xfId="2"/>
    <xf numFmtId="43" fontId="13" fillId="0" borderId="0" pivotButton="0" quotePrefix="0" xfId="1"/>
    <xf numFmtId="166" fontId="13" fillId="12" borderId="4" applyAlignment="1" pivotButton="0" quotePrefix="0" xfId="1">
      <alignment horizontal="center"/>
    </xf>
    <xf numFmtId="0" fontId="0" fillId="0" borderId="2" pivotButton="0" quotePrefix="0" xfId="0"/>
    <xf numFmtId="0" fontId="0" fillId="0" borderId="0" applyAlignment="1" pivotButton="0" quotePrefix="0" xfId="0">
      <alignment wrapText="1"/>
    </xf>
    <xf numFmtId="4" fontId="0" fillId="7" borderId="0" pivotButton="0" quotePrefix="0" xfId="1"/>
    <xf numFmtId="4" fontId="0" fillId="8" borderId="0" pivotButton="0" quotePrefix="0" xfId="1"/>
    <xf numFmtId="43" fontId="13" fillId="0" borderId="5" pivotButton="0" quotePrefix="0" xfId="1"/>
    <xf numFmtId="43" fontId="13" fillId="0" borderId="0" pivotButton="0" quotePrefix="0" xfId="1"/>
    <xf numFmtId="0" fontId="13" fillId="0" borderId="0" applyAlignment="1" pivotButton="0" quotePrefix="0" xfId="0">
      <alignment horizontal="center" vertical="center"/>
    </xf>
    <xf numFmtId="165" fontId="13" fillId="7" borderId="0" pivotButton="0" quotePrefix="0" xfId="1"/>
    <xf numFmtId="165" fontId="13" fillId="8" borderId="0" pivotButton="0" quotePrefix="0" xfId="1"/>
    <xf numFmtId="171" fontId="13" fillId="7" borderId="0" pivotButton="0" quotePrefix="0" xfId="1"/>
    <xf numFmtId="171" fontId="13" fillId="8" borderId="0" pivotButton="0" quotePrefix="0" xfId="1"/>
    <xf numFmtId="0" fontId="10" fillId="9" borderId="1" applyAlignment="1" pivotButton="0" quotePrefix="0" xfId="0">
      <alignment vertical="center"/>
    </xf>
    <xf numFmtId="43" fontId="10" fillId="9" borderId="1" applyAlignment="1" pivotButton="0" quotePrefix="0" xfId="1">
      <alignment vertical="center"/>
    </xf>
    <xf numFmtId="43" fontId="5" fillId="9" borderId="1" applyAlignment="1" pivotButton="0" quotePrefix="0" xfId="6">
      <alignment vertical="center"/>
    </xf>
    <xf numFmtId="172" fontId="0" fillId="0" borderId="0" pivotButton="0" quotePrefix="0" xfId="0"/>
    <xf numFmtId="43" fontId="0" fillId="0" borderId="0" applyAlignment="1" pivotButton="0" quotePrefix="0" xfId="0">
      <alignment vertical="center"/>
    </xf>
    <xf numFmtId="43" fontId="0" fillId="0" borderId="0" pivotButton="0" quotePrefix="0" xfId="0"/>
    <xf numFmtId="10" fontId="0" fillId="0" borderId="0" pivotButton="0" quotePrefix="0" xfId="2"/>
    <xf numFmtId="173" fontId="0" fillId="0" borderId="0" pivotButton="0" quotePrefix="0" xfId="1"/>
    <xf numFmtId="166" fontId="0" fillId="0" borderId="0" pivotButton="0" quotePrefix="0" xfId="1"/>
    <xf numFmtId="166" fontId="0" fillId="0" borderId="0" pivotButton="0" quotePrefix="0" xfId="0"/>
    <xf numFmtId="43" fontId="10" fillId="4" borderId="13" applyAlignment="1" pivotButton="0" quotePrefix="0" xfId="1">
      <alignment horizontal="left"/>
    </xf>
    <xf numFmtId="43" fontId="10" fillId="4" borderId="14" applyAlignment="1" pivotButton="0" quotePrefix="0" xfId="1">
      <alignment horizontal="left"/>
    </xf>
    <xf numFmtId="43" fontId="10" fillId="4" borderId="15" applyAlignment="1" pivotButton="0" quotePrefix="0" xfId="1">
      <alignment horizontal="left"/>
    </xf>
    <xf numFmtId="43" fontId="10" fillId="4" borderId="16" applyAlignment="1" pivotButton="0" quotePrefix="0" xfId="1">
      <alignment horizontal="left"/>
    </xf>
    <xf numFmtId="0" fontId="20" fillId="10" borderId="0" applyAlignment="1" pivotButton="0" quotePrefix="0" xfId="3">
      <alignment horizontal="left"/>
    </xf>
    <xf numFmtId="0" fontId="20" fillId="10" borderId="0" pivotButton="0" quotePrefix="0" xfId="3"/>
    <xf numFmtId="9" fontId="0" fillId="0" borderId="0" applyAlignment="1" pivotButton="0" quotePrefix="0" xfId="0">
      <alignment horizontal="center"/>
    </xf>
    <xf numFmtId="169" fontId="0" fillId="0" borderId="0" applyAlignment="1" pivotButton="0" quotePrefix="0" xfId="0">
      <alignment horizontal="center"/>
    </xf>
    <xf numFmtId="9" fontId="1" fillId="7" borderId="0" pivotButton="0" quotePrefix="0" xfId="2"/>
    <xf numFmtId="9" fontId="1" fillId="8" borderId="0" pivotButton="0" quotePrefix="0" xfId="2"/>
    <xf numFmtId="166" fontId="22" fillId="15" borderId="0" applyAlignment="1" pivotButton="0" quotePrefix="0" xfId="8">
      <alignment horizontal="center"/>
    </xf>
    <xf numFmtId="166" fontId="21" fillId="14" borderId="0" applyAlignment="1" pivotButton="0" quotePrefix="0" xfId="7">
      <alignment horizontal="center"/>
    </xf>
    <xf numFmtId="0" fontId="24" fillId="0" borderId="0" applyAlignment="1" pivotButton="0" quotePrefix="0" xfId="0">
      <alignment wrapText="1"/>
    </xf>
    <xf numFmtId="174" fontId="0" fillId="0" borderId="0" pivotButton="0" quotePrefix="0" xfId="0"/>
    <xf numFmtId="0" fontId="20" fillId="10" borderId="20" pivotButton="0" quotePrefix="0" xfId="3"/>
    <xf numFmtId="43" fontId="10" fillId="4" borderId="21" applyAlignment="1" pivotButton="0" quotePrefix="0" xfId="1">
      <alignment horizontal="left" wrapText="1"/>
    </xf>
    <xf numFmtId="174" fontId="0" fillId="0" borderId="22" pivotButton="0" quotePrefix="0" xfId="0"/>
    <xf numFmtId="174" fontId="0" fillId="0" borderId="23" pivotButton="0" quotePrefix="0" xfId="0"/>
    <xf numFmtId="167" fontId="1" fillId="7" borderId="20" pivotButton="0" quotePrefix="0" xfId="1"/>
    <xf numFmtId="167" fontId="1" fillId="8" borderId="22" pivotButton="0" quotePrefix="0" xfId="1"/>
    <xf numFmtId="167" fontId="1" fillId="7" borderId="22" pivotButton="0" quotePrefix="0" xfId="1"/>
    <xf numFmtId="43" fontId="23" fillId="9" borderId="17" applyAlignment="1" pivotButton="0" quotePrefix="0" xfId="6">
      <alignment vertical="center"/>
    </xf>
    <xf numFmtId="165" fontId="1" fillId="16" borderId="0" pivotButton="0" quotePrefix="0" xfId="9"/>
    <xf numFmtId="165" fontId="10" fillId="4" borderId="15" applyAlignment="1" pivotButton="0" quotePrefix="0" xfId="1">
      <alignment horizontal="left"/>
    </xf>
    <xf numFmtId="165" fontId="1" fillId="16" borderId="2" pivotButton="0" quotePrefix="0" xfId="9"/>
    <xf numFmtId="175" fontId="0" fillId="0" borderId="0" pivotButton="0" quotePrefix="0" xfId="0"/>
    <xf numFmtId="171" fontId="0" fillId="16" borderId="2" pivotButton="0" quotePrefix="0" xfId="9"/>
    <xf numFmtId="176" fontId="0" fillId="0" borderId="0" pivotButton="0" quotePrefix="0" xfId="0"/>
    <xf numFmtId="0" fontId="1" fillId="0" borderId="0" pivotButton="0" quotePrefix="0" xfId="11"/>
    <xf numFmtId="43" fontId="10" fillId="4" borderId="18" applyAlignment="1" pivotButton="0" quotePrefix="0" xfId="1">
      <alignment horizontal="left"/>
    </xf>
    <xf numFmtId="9" fontId="0" fillId="0" borderId="0" pivotButton="0" quotePrefix="0" xfId="0"/>
    <xf numFmtId="0" fontId="0" fillId="0" borderId="1" pivotButton="0" quotePrefix="0" xfId="0"/>
    <xf numFmtId="0" fontId="3" fillId="0" borderId="1" pivotButton="0" quotePrefix="0" xfId="3"/>
    <xf numFmtId="0" fontId="3" fillId="0" borderId="0" pivotButton="0" quotePrefix="0" xfId="3"/>
    <xf numFmtId="0" fontId="27" fillId="0" borderId="0" pivotButton="0" quotePrefix="0" xfId="3"/>
    <xf numFmtId="43" fontId="10" fillId="4" borderId="25" applyAlignment="1" pivotButton="0" quotePrefix="0" xfId="1">
      <alignment horizontal="left"/>
    </xf>
    <xf numFmtId="0" fontId="0" fillId="0" borderId="0" applyAlignment="1" pivotButton="0" quotePrefix="0" xfId="0">
      <alignment vertical="center"/>
    </xf>
    <xf numFmtId="0" fontId="2" fillId="0" borderId="0" pivotButton="0" quotePrefix="0" xfId="0"/>
    <xf numFmtId="0" fontId="12" fillId="6" borderId="0" applyAlignment="1" pivotButton="0" quotePrefix="0" xfId="4">
      <alignment horizontal="center" vertical="center" readingOrder="1"/>
    </xf>
    <xf numFmtId="166" fontId="0" fillId="0" borderId="0" pivotButton="0" quotePrefix="0" xfId="1"/>
    <xf numFmtId="169" fontId="1" fillId="7" borderId="0" pivotButton="0" quotePrefix="0" xfId="2"/>
    <xf numFmtId="0" fontId="28" fillId="20" borderId="0" applyAlignment="1" pivotButton="0" quotePrefix="0" xfId="0">
      <alignment horizontal="left" vertical="center" readingOrder="1"/>
    </xf>
    <xf numFmtId="0" fontId="28" fillId="20" borderId="0" applyAlignment="1" pivotButton="0" quotePrefix="0" xfId="0">
      <alignment horizontal="center" vertical="center" readingOrder="1"/>
    </xf>
    <xf numFmtId="9" fontId="4" fillId="0" borderId="0" applyAlignment="1" pivotButton="0" quotePrefix="0" xfId="2">
      <alignment horizontal="left"/>
    </xf>
    <xf numFmtId="0" fontId="4" fillId="19" borderId="2" applyAlignment="1" pivotButton="0" quotePrefix="0" xfId="0">
      <alignment horizontal="left"/>
    </xf>
    <xf numFmtId="0" fontId="4" fillId="19" borderId="2" applyAlignment="1" pivotButton="0" quotePrefix="0" xfId="0">
      <alignment horizontal="center"/>
    </xf>
    <xf numFmtId="0" fontId="3" fillId="0" borderId="0" applyAlignment="1" pivotButton="0" quotePrefix="0" xfId="3">
      <alignment vertical="center"/>
    </xf>
    <xf numFmtId="9" fontId="29" fillId="0" borderId="0" applyAlignment="1" pivotButton="0" quotePrefix="0" xfId="2">
      <alignment horizontal="left" vertical="center"/>
    </xf>
    <xf numFmtId="0" fontId="22" fillId="15" borderId="0" applyAlignment="1" pivotButton="0" quotePrefix="0" xfId="8">
      <alignment horizontal="left"/>
    </xf>
    <xf numFmtId="0" fontId="0" fillId="0" borderId="0" pivotButton="1" quotePrefix="0" xfId="0"/>
    <xf numFmtId="173" fontId="0" fillId="0" borderId="0" pivotButton="0" quotePrefix="0" xfId="0"/>
    <xf numFmtId="0" fontId="10" fillId="9" borderId="27" applyAlignment="1" pivotButton="0" quotePrefix="0" xfId="0">
      <alignment vertical="center"/>
    </xf>
    <xf numFmtId="43" fontId="10" fillId="9" borderId="28" applyAlignment="1" pivotButton="0" quotePrefix="0" xfId="1">
      <alignment vertical="center"/>
    </xf>
    <xf numFmtId="0" fontId="13" fillId="7" borderId="29" pivotButton="0" quotePrefix="0" xfId="0"/>
    <xf numFmtId="165" fontId="13" fillId="7" borderId="30" pivotButton="0" quotePrefix="0" xfId="1"/>
    <xf numFmtId="171" fontId="13" fillId="7" borderId="31" pivotButton="0" quotePrefix="0" xfId="1"/>
    <xf numFmtId="0" fontId="13" fillId="8" borderId="29" pivotButton="0" quotePrefix="0" xfId="0"/>
    <xf numFmtId="165" fontId="13" fillId="8" borderId="30" pivotButton="0" quotePrefix="0" xfId="1"/>
    <xf numFmtId="171" fontId="13" fillId="8" borderId="31" pivotButton="0" quotePrefix="0" xfId="1"/>
    <xf numFmtId="169" fontId="0" fillId="0" borderId="0" pivotButton="0" quotePrefix="0" xfId="2"/>
    <xf numFmtId="169" fontId="0" fillId="0" borderId="1" pivotButton="0" quotePrefix="0" xfId="2"/>
    <xf numFmtId="0" fontId="4" fillId="21" borderId="1" pivotButton="0" quotePrefix="0" xfId="0"/>
    <xf numFmtId="0" fontId="0" fillId="0" borderId="26" applyAlignment="1" pivotButton="0" quotePrefix="0" xfId="0">
      <alignment horizontal="left"/>
    </xf>
    <xf numFmtId="177" fontId="0" fillId="0" borderId="0" pivotButton="0" quotePrefix="0" xfId="0"/>
    <xf numFmtId="178" fontId="0" fillId="0" borderId="0" pivotButton="0" quotePrefix="0" xfId="0"/>
    <xf numFmtId="3" fontId="1" fillId="0" borderId="0" pivotButton="0" quotePrefix="0" xfId="11"/>
    <xf numFmtId="0" fontId="0" fillId="12" borderId="0" pivotButton="0" quotePrefix="0" xfId="0"/>
    <xf numFmtId="3" fontId="0" fillId="0" borderId="0" pivotButton="0" quotePrefix="0" xfId="0"/>
    <xf numFmtId="165" fontId="0" fillId="0" borderId="0" applyAlignment="1" pivotButton="0" quotePrefix="0" xfId="1">
      <alignment vertical="center"/>
    </xf>
    <xf numFmtId="165" fontId="0" fillId="0" borderId="0" pivotButton="0" quotePrefix="0" xfId="1"/>
    <xf numFmtId="179" fontId="0" fillId="0" borderId="0" pivotButton="0" quotePrefix="0" xfId="1"/>
    <xf numFmtId="43" fontId="10" fillId="4" borderId="12" applyAlignment="1" pivotButton="0" quotePrefix="0" xfId="1">
      <alignment horizontal="left"/>
    </xf>
    <xf numFmtId="2" fontId="0" fillId="0" borderId="0" applyAlignment="1" pivotButton="0" quotePrefix="0" xfId="0">
      <alignment horizontal="center"/>
    </xf>
    <xf numFmtId="0" fontId="0" fillId="20" borderId="2" applyAlignment="1" pivotButton="0" quotePrefix="0" xfId="0">
      <alignment horizontal="left"/>
    </xf>
    <xf numFmtId="0" fontId="0" fillId="29" borderId="2" applyAlignment="1" pivotButton="0" quotePrefix="0" xfId="0">
      <alignment horizontal="left"/>
    </xf>
    <xf numFmtId="170" fontId="0" fillId="20" borderId="2" applyAlignment="1" pivotButton="0" quotePrefix="0" xfId="0">
      <alignment horizontal="center"/>
    </xf>
    <xf numFmtId="170" fontId="0" fillId="29" borderId="2" applyAlignment="1" pivotButton="0" quotePrefix="0" xfId="0">
      <alignment horizontal="center"/>
    </xf>
    <xf numFmtId="170" fontId="13" fillId="29" borderId="2" applyAlignment="1" pivotButton="0" quotePrefix="0" xfId="0">
      <alignment horizontal="center"/>
    </xf>
    <xf numFmtId="0" fontId="1" fillId="24" borderId="2" pivotButton="0" quotePrefix="0" xfId="14"/>
    <xf numFmtId="0" fontId="1" fillId="24" borderId="2" applyAlignment="1" pivotButton="0" quotePrefix="0" xfId="14">
      <alignment horizontal="left" vertical="center" readingOrder="1"/>
    </xf>
    <xf numFmtId="170" fontId="1" fillId="24" borderId="2" applyAlignment="1" pivotButton="0" quotePrefix="0" xfId="14">
      <alignment horizontal="left" vertical="center" readingOrder="1"/>
    </xf>
    <xf numFmtId="0" fontId="1" fillId="25" borderId="2" pivotButton="0" quotePrefix="0" xfId="15"/>
    <xf numFmtId="0" fontId="1" fillId="25" borderId="2" applyAlignment="1" pivotButton="0" quotePrefix="0" xfId="15">
      <alignment horizontal="left" vertical="center" readingOrder="1"/>
    </xf>
    <xf numFmtId="170" fontId="1" fillId="25" borderId="2" applyAlignment="1" pivotButton="0" quotePrefix="0" xfId="15">
      <alignment horizontal="left" vertical="center" readingOrder="1"/>
    </xf>
    <xf numFmtId="0" fontId="1" fillId="26" borderId="2" pivotButton="0" quotePrefix="0" xfId="16"/>
    <xf numFmtId="0" fontId="1" fillId="26" borderId="2" applyAlignment="1" pivotButton="0" quotePrefix="0" xfId="16">
      <alignment horizontal="left" vertical="center" readingOrder="1"/>
    </xf>
    <xf numFmtId="170" fontId="1" fillId="26" borderId="2" pivotButton="0" quotePrefix="0" xfId="16"/>
    <xf numFmtId="170" fontId="1" fillId="26" borderId="2" applyAlignment="1" pivotButton="0" quotePrefix="0" xfId="16">
      <alignment horizontal="left" vertical="center" readingOrder="1"/>
    </xf>
    <xf numFmtId="0" fontId="1" fillId="27" borderId="2" pivotButton="0" quotePrefix="0" xfId="17"/>
    <xf numFmtId="0" fontId="1" fillId="27" borderId="2" applyAlignment="1" pivotButton="0" quotePrefix="0" xfId="17">
      <alignment horizontal="left" vertical="center" readingOrder="1"/>
    </xf>
    <xf numFmtId="170" fontId="1" fillId="27" borderId="2" pivotButton="0" quotePrefix="0" xfId="17"/>
    <xf numFmtId="170" fontId="1" fillId="27" borderId="2" applyAlignment="1" pivotButton="0" quotePrefix="0" xfId="17">
      <alignment horizontal="left" vertical="center" readingOrder="1"/>
    </xf>
    <xf numFmtId="173" fontId="20" fillId="10" borderId="0" applyAlignment="1" pivotButton="0" quotePrefix="0" xfId="1">
      <alignment horizontal="left"/>
    </xf>
    <xf numFmtId="173" fontId="10" fillId="4" borderId="25" applyAlignment="1" pivotButton="0" quotePrefix="0" xfId="1">
      <alignment horizontal="left"/>
    </xf>
    <xf numFmtId="173" fontId="10" fillId="4" borderId="12" applyAlignment="1" pivotButton="0" quotePrefix="0" xfId="1">
      <alignment horizontal="left"/>
    </xf>
    <xf numFmtId="173" fontId="0" fillId="0" borderId="0" pivotButton="0" quotePrefix="0" xfId="1"/>
    <xf numFmtId="0" fontId="0" fillId="0" borderId="0" applyAlignment="1" pivotButton="0" quotePrefix="0" xfId="0">
      <alignment horizontal="left" vertical="center"/>
    </xf>
    <xf numFmtId="0" fontId="38" fillId="32" borderId="2" applyAlignment="1" pivotButton="0" quotePrefix="0" xfId="0">
      <alignment horizontal="left" vertical="center"/>
    </xf>
    <xf numFmtId="0" fontId="38" fillId="33" borderId="2" applyAlignment="1" pivotButton="0" quotePrefix="0" xfId="0">
      <alignment horizontal="left" vertical="center" wrapText="1"/>
    </xf>
    <xf numFmtId="0" fontId="38" fillId="34" borderId="2" applyAlignment="1" pivotButton="0" quotePrefix="0" xfId="0">
      <alignment horizontal="left" vertical="center" wrapText="1"/>
    </xf>
    <xf numFmtId="0" fontId="0" fillId="35" borderId="2" applyAlignment="1" pivotButton="0" quotePrefix="0" xfId="0">
      <alignment horizontal="left" vertical="center" wrapText="1"/>
    </xf>
    <xf numFmtId="0" fontId="39" fillId="36" borderId="2" applyAlignment="1" pivotButton="0" quotePrefix="0" xfId="0">
      <alignment horizontal="left" vertical="center" wrapText="1"/>
    </xf>
    <xf numFmtId="0" fontId="0" fillId="37" borderId="2" applyAlignment="1" pivotButton="0" quotePrefix="0" xfId="0">
      <alignment horizontal="left" vertical="center"/>
    </xf>
    <xf numFmtId="0" fontId="35" fillId="37" borderId="2" applyAlignment="1" pivotButton="0" quotePrefix="0" xfId="0">
      <alignment horizontal="left" vertical="center"/>
    </xf>
    <xf numFmtId="0" fontId="39" fillId="38" borderId="2" applyAlignment="1" pivotButton="0" quotePrefix="0" xfId="0">
      <alignment horizontal="left" vertical="center" wrapText="1"/>
    </xf>
    <xf numFmtId="0" fontId="40" fillId="35" borderId="2" applyAlignment="1" pivotButton="0" quotePrefix="0" xfId="0">
      <alignment horizontal="left" vertical="center" wrapText="1"/>
    </xf>
    <xf numFmtId="0" fontId="0" fillId="37" borderId="2" applyAlignment="1" pivotButton="0" quotePrefix="0" xfId="0">
      <alignment vertical="center"/>
    </xf>
    <xf numFmtId="0" fontId="0" fillId="37" borderId="9" applyAlignment="1" pivotButton="0" quotePrefix="0" xfId="0">
      <alignment horizontal="left" vertical="center"/>
    </xf>
    <xf numFmtId="0" fontId="14" fillId="39" borderId="2" applyAlignment="1" pivotButton="0" quotePrefix="0" xfId="0">
      <alignment horizontal="left" vertical="center" wrapText="1"/>
    </xf>
    <xf numFmtId="0" fontId="4" fillId="37" borderId="2" applyAlignment="1" pivotButton="0" quotePrefix="0" xfId="0">
      <alignment horizontal="left" vertical="center"/>
    </xf>
    <xf numFmtId="0" fontId="39" fillId="39" borderId="2" applyAlignment="1" pivotButton="0" quotePrefix="0" xfId="0">
      <alignment horizontal="left" vertical="center" wrapText="1"/>
    </xf>
    <xf numFmtId="0" fontId="4" fillId="38" borderId="2" applyAlignment="1" pivotButton="0" quotePrefix="0" xfId="0">
      <alignment horizontal="left" vertical="center" wrapText="1"/>
    </xf>
    <xf numFmtId="0" fontId="4" fillId="40" borderId="2" applyAlignment="1" pivotButton="0" quotePrefix="0" xfId="0">
      <alignment horizontal="left" vertical="center" wrapText="1"/>
    </xf>
    <xf numFmtId="0" fontId="4" fillId="39" borderId="2" applyAlignment="1" pivotButton="0" quotePrefix="0" xfId="0">
      <alignment horizontal="left" vertical="center" wrapText="1"/>
    </xf>
    <xf numFmtId="0" fontId="4" fillId="37" borderId="32" applyAlignment="1" pivotButton="0" quotePrefix="0" xfId="0">
      <alignment horizontal="left" vertical="center"/>
    </xf>
    <xf numFmtId="0" fontId="0" fillId="37" borderId="32" applyAlignment="1" pivotButton="0" quotePrefix="0" xfId="0">
      <alignment horizontal="left" vertical="center"/>
    </xf>
    <xf numFmtId="0" fontId="14" fillId="38" borderId="2" applyAlignment="1" pivotButton="0" quotePrefix="0" xfId="0">
      <alignment horizontal="left" vertical="center" wrapText="1"/>
    </xf>
    <xf numFmtId="0" fontId="14" fillId="41" borderId="2" applyAlignment="1" pivotButton="0" quotePrefix="0" xfId="0">
      <alignment horizontal="left" vertical="center" wrapText="1"/>
    </xf>
    <xf numFmtId="0" fontId="4" fillId="42" borderId="2" applyAlignment="1" pivotButton="0" quotePrefix="0" xfId="0">
      <alignment horizontal="left" vertical="center" wrapText="1"/>
    </xf>
    <xf numFmtId="0" fontId="39" fillId="42" borderId="2" applyAlignment="1" pivotButton="0" quotePrefix="0" xfId="0">
      <alignment horizontal="left" vertical="center" wrapText="1"/>
    </xf>
    <xf numFmtId="0" fontId="18" fillId="0" borderId="0" pivotButton="0" quotePrefix="0" xfId="0"/>
    <xf numFmtId="180" fontId="1" fillId="7" borderId="0" pivotButton="0" quotePrefix="0" xfId="1"/>
    <xf numFmtId="180" fontId="1" fillId="8" borderId="0" pivotButton="0" quotePrefix="0" xfId="1"/>
    <xf numFmtId="9" fontId="53" fillId="51" borderId="0" pivotButton="0" quotePrefix="0" xfId="3"/>
    <xf numFmtId="166" fontId="1" fillId="8" borderId="0" pivotButton="0" quotePrefix="0" xfId="0"/>
    <xf numFmtId="166" fontId="1" fillId="7" borderId="0" pivotButton="0" quotePrefix="0" xfId="0"/>
    <xf numFmtId="0" fontId="48" fillId="30" borderId="46" applyAlignment="1" applyProtection="1" pivotButton="0" quotePrefix="0" xfId="0">
      <alignment horizontal="center"/>
      <protection locked="0" hidden="0"/>
    </xf>
    <xf numFmtId="0" fontId="48" fillId="30" borderId="45" applyAlignment="1" applyProtection="1" pivotButton="0" quotePrefix="0" xfId="0">
      <alignment horizontal="center"/>
      <protection locked="0" hidden="0"/>
    </xf>
    <xf numFmtId="169" fontId="0" fillId="0" borderId="0" applyAlignment="1" pivotButton="0" quotePrefix="0" xfId="2">
      <alignment horizontal="center"/>
    </xf>
    <xf numFmtId="10" fontId="0" fillId="0" borderId="0" pivotButton="0" quotePrefix="0" xfId="0"/>
    <xf numFmtId="0" fontId="0" fillId="52" borderId="47" pivotButton="0" quotePrefix="0" xfId="0"/>
    <xf numFmtId="0" fontId="0" fillId="52" borderId="48" pivotButton="0" quotePrefix="0" xfId="0"/>
    <xf numFmtId="0" fontId="0" fillId="52" borderId="49" pivotButton="0" quotePrefix="0" xfId="0"/>
    <xf numFmtId="0" fontId="45" fillId="44" borderId="26" applyAlignment="1" pivotButton="0" quotePrefix="0" xfId="0">
      <alignment horizontal="center" vertical="center"/>
    </xf>
    <xf numFmtId="0" fontId="49" fillId="47" borderId="55" applyAlignment="1" pivotButton="0" quotePrefix="0" xfId="0">
      <alignment horizontal="left"/>
    </xf>
    <xf numFmtId="0" fontId="48" fillId="30" borderId="0" applyAlignment="1" applyProtection="1" pivotButton="0" quotePrefix="0" xfId="0">
      <alignment horizontal="center"/>
      <protection locked="0" hidden="0"/>
    </xf>
    <xf numFmtId="0" fontId="50" fillId="47" borderId="56" applyAlignment="1" pivotButton="0" quotePrefix="0" xfId="0">
      <alignment horizontal="left"/>
    </xf>
    <xf numFmtId="0" fontId="49" fillId="47" borderId="57" applyAlignment="1" pivotButton="0" quotePrefix="0" xfId="0">
      <alignment horizontal="left"/>
    </xf>
    <xf numFmtId="0" fontId="50" fillId="47" borderId="58" applyAlignment="1" pivotButton="0" quotePrefix="0" xfId="0">
      <alignment horizontal="left"/>
    </xf>
    <xf numFmtId="0" fontId="49" fillId="47" borderId="59" applyAlignment="1" pivotButton="0" quotePrefix="0" xfId="0">
      <alignment horizontal="left"/>
    </xf>
    <xf numFmtId="0" fontId="50" fillId="47" borderId="60" applyAlignment="1" pivotButton="0" quotePrefix="0" xfId="0">
      <alignment horizontal="left"/>
    </xf>
    <xf numFmtId="0" fontId="49" fillId="48" borderId="26" applyAlignment="1" pivotButton="0" quotePrefix="0" xfId="0">
      <alignment horizontal="left"/>
    </xf>
    <xf numFmtId="166" fontId="48" fillId="30" borderId="46" applyAlignment="1" applyProtection="1" pivotButton="0" quotePrefix="0" xfId="1">
      <alignment horizontal="center"/>
      <protection locked="0" hidden="0"/>
    </xf>
    <xf numFmtId="0" fontId="54" fillId="0" borderId="0" pivotButton="0" quotePrefix="0" xfId="0"/>
    <xf numFmtId="0" fontId="55" fillId="0" borderId="0" pivotButton="0" quotePrefix="0" xfId="0"/>
    <xf numFmtId="0" fontId="45" fillId="6" borderId="9" applyAlignment="1" pivotButton="0" quotePrefix="0" xfId="0">
      <alignment horizontal="center"/>
    </xf>
    <xf numFmtId="0" fontId="45" fillId="6" borderId="8" applyAlignment="1" pivotButton="0" quotePrefix="0" xfId="0">
      <alignment horizontal="center"/>
    </xf>
    <xf numFmtId="0" fontId="45" fillId="10" borderId="9" applyAlignment="1" pivotButton="0" quotePrefix="0" xfId="0">
      <alignment horizontal="center"/>
    </xf>
    <xf numFmtId="0" fontId="45" fillId="10" borderId="8" applyAlignment="1" pivotButton="0" quotePrefix="0" xfId="0">
      <alignment horizontal="center"/>
    </xf>
    <xf numFmtId="0" fontId="45" fillId="17" borderId="9" applyAlignment="1" pivotButton="0" quotePrefix="0" xfId="0">
      <alignment horizontal="center"/>
    </xf>
    <xf numFmtId="0" fontId="45" fillId="17" borderId="8" applyAlignment="1" pivotButton="0" quotePrefix="0" xfId="0">
      <alignment horizontal="center"/>
    </xf>
    <xf numFmtId="0" fontId="45" fillId="18" borderId="9" applyAlignment="1" pivotButton="0" quotePrefix="0" xfId="0">
      <alignment horizontal="center"/>
    </xf>
    <xf numFmtId="0" fontId="45" fillId="18" borderId="8" applyAlignment="1" pivotButton="0" quotePrefix="0" xfId="0">
      <alignment horizontal="center"/>
    </xf>
    <xf numFmtId="0" fontId="45" fillId="53" borderId="9" applyAlignment="1" pivotButton="0" quotePrefix="0" xfId="0">
      <alignment horizontal="center"/>
    </xf>
    <xf numFmtId="0" fontId="45" fillId="53" borderId="8" applyAlignment="1" pivotButton="0" quotePrefix="0" xfId="0">
      <alignment horizontal="center"/>
    </xf>
    <xf numFmtId="0" fontId="56" fillId="0" borderId="0" applyAlignment="1" pivotButton="0" quotePrefix="0" xfId="0">
      <alignment horizontal="center"/>
    </xf>
    <xf numFmtId="0" fontId="10" fillId="4" borderId="0" applyAlignment="1" pivotButton="0" quotePrefix="0" xfId="0">
      <alignment horizontal="center"/>
    </xf>
    <xf numFmtId="0" fontId="0" fillId="54" borderId="2" pivotButton="0" quotePrefix="0" xfId="0"/>
    <xf numFmtId="0" fontId="10" fillId="17" borderId="2" pivotButton="0" quotePrefix="0" xfId="0"/>
    <xf numFmtId="0" fontId="57" fillId="0" borderId="0" pivotButton="0" quotePrefix="0" xfId="0"/>
    <xf numFmtId="181" fontId="0" fillId="0" borderId="0" pivotButton="0" quotePrefix="0" xfId="0"/>
    <xf numFmtId="0" fontId="4" fillId="55" borderId="0" pivotButton="0" quotePrefix="0" xfId="0"/>
    <xf numFmtId="182" fontId="0" fillId="0" borderId="0" pivotButton="0" quotePrefix="0" xfId="0"/>
    <xf numFmtId="167" fontId="0" fillId="0" borderId="0" applyAlignment="1" pivotButton="0" quotePrefix="0" xfId="1">
      <alignment horizontal="left"/>
    </xf>
    <xf numFmtId="167" fontId="0" fillId="0" borderId="0" pivotButton="0" quotePrefix="0" xfId="1"/>
    <xf numFmtId="0" fontId="13" fillId="8" borderId="61" pivotButton="0" quotePrefix="0" xfId="0"/>
    <xf numFmtId="0" fontId="58" fillId="12" borderId="0" pivotButton="0" quotePrefix="0" xfId="0"/>
    <xf numFmtId="0" fontId="59" fillId="0" borderId="0" applyAlignment="1" pivotButton="0" quotePrefix="0" xfId="11">
      <alignment horizontal="center" vertical="center"/>
    </xf>
    <xf numFmtId="0" fontId="30" fillId="0" borderId="0" applyAlignment="1" pivotButton="0" quotePrefix="0" xfId="11">
      <alignment horizontal="center" vertical="center"/>
    </xf>
    <xf numFmtId="0" fontId="30" fillId="0" borderId="20" applyAlignment="1" pivotButton="0" quotePrefix="0" xfId="11">
      <alignment horizontal="center" vertical="center" wrapText="1"/>
    </xf>
    <xf numFmtId="9" fontId="4" fillId="12" borderId="20" applyAlignment="1" pivotButton="0" quotePrefix="0" xfId="11">
      <alignment horizontal="center"/>
    </xf>
    <xf numFmtId="169" fontId="4" fillId="12" borderId="20" applyAlignment="1" pivotButton="0" quotePrefix="0" xfId="11">
      <alignment horizontal="center"/>
    </xf>
    <xf numFmtId="183" fontId="0" fillId="0" borderId="0" pivotButton="0" quotePrefix="0" xfId="0"/>
    <xf numFmtId="0" fontId="30" fillId="0" borderId="62" applyAlignment="1" pivotButton="0" quotePrefix="0" xfId="11">
      <alignment horizontal="center" vertical="center"/>
    </xf>
    <xf numFmtId="0" fontId="59" fillId="0" borderId="37" applyAlignment="1" pivotButton="0" quotePrefix="0" xfId="11">
      <alignment horizontal="center" vertical="center" wrapText="1"/>
    </xf>
    <xf numFmtId="0" fontId="30" fillId="0" borderId="37" applyAlignment="1" pivotButton="0" quotePrefix="0" xfId="11">
      <alignment horizontal="center" vertical="center" wrapText="1"/>
    </xf>
    <xf numFmtId="0" fontId="30" fillId="0" borderId="37" applyAlignment="1" pivotButton="0" quotePrefix="0" xfId="11">
      <alignment horizontal="center" vertical="center"/>
    </xf>
    <xf numFmtId="0" fontId="30" fillId="0" borderId="63" applyAlignment="1" pivotButton="0" quotePrefix="0" xfId="11">
      <alignment horizontal="center" vertical="center" wrapText="1"/>
    </xf>
    <xf numFmtId="0" fontId="30" fillId="0" borderId="36" applyAlignment="1" pivotButton="0" quotePrefix="0" xfId="11">
      <alignment horizontal="center" vertical="center" wrapText="1"/>
    </xf>
    <xf numFmtId="0" fontId="30" fillId="0" borderId="49" applyAlignment="1" pivotButton="0" quotePrefix="0" xfId="11">
      <alignment horizontal="center" vertical="center" wrapText="1"/>
    </xf>
    <xf numFmtId="0" fontId="30" fillId="9" borderId="20" applyAlignment="1" pivotButton="0" quotePrefix="0" xfId="11">
      <alignment horizontal="center" vertical="center" wrapText="1"/>
    </xf>
    <xf numFmtId="0" fontId="30" fillId="22" borderId="20" applyAlignment="1" pivotButton="0" quotePrefix="0" xfId="11">
      <alignment horizontal="center" vertical="center" wrapText="1"/>
    </xf>
    <xf numFmtId="0" fontId="0" fillId="0" borderId="20" pivotButton="0" quotePrefix="0" xfId="0"/>
    <xf numFmtId="0" fontId="60" fillId="0" borderId="35" applyAlignment="1" pivotButton="0" quotePrefix="0" xfId="11">
      <alignment horizontal="center" vertical="center"/>
    </xf>
    <xf numFmtId="0" fontId="31" fillId="0" borderId="35" applyAlignment="1" pivotButton="0" quotePrefix="0" xfId="11">
      <alignment horizontal="center" vertical="center"/>
    </xf>
    <xf numFmtId="184" fontId="31" fillId="0" borderId="35" applyAlignment="1" pivotButton="0" quotePrefix="0" xfId="11">
      <alignment horizontal="center" vertical="center"/>
    </xf>
    <xf numFmtId="3" fontId="31" fillId="0" borderId="35" applyAlignment="1" pivotButton="0" quotePrefix="0" xfId="11">
      <alignment horizontal="center" vertical="center"/>
    </xf>
    <xf numFmtId="165" fontId="31" fillId="0" borderId="35" applyAlignment="1" pivotButton="0" quotePrefix="0" xfId="12">
      <alignment horizontal="center" vertical="center"/>
    </xf>
    <xf numFmtId="176" fontId="0" fillId="0" borderId="35" pivotButton="0" quotePrefix="0" xfId="0"/>
    <xf numFmtId="170" fontId="4" fillId="0" borderId="35" applyAlignment="1" pivotButton="0" quotePrefix="0" xfId="12">
      <alignment vertical="center"/>
    </xf>
    <xf numFmtId="9" fontId="4" fillId="0" borderId="35" applyAlignment="1" pivotButton="0" quotePrefix="0" xfId="2">
      <alignment vertical="center"/>
    </xf>
    <xf numFmtId="170" fontId="4" fillId="9" borderId="35" applyAlignment="1" pivotButton="0" quotePrefix="0" xfId="12">
      <alignment vertical="center"/>
    </xf>
    <xf numFmtId="170" fontId="4" fillId="0" borderId="35" applyAlignment="1" pivotButton="0" quotePrefix="0" xfId="12">
      <alignment vertical="center"/>
    </xf>
    <xf numFmtId="0" fontId="0" fillId="0" borderId="35" pivotButton="0" quotePrefix="0" xfId="0"/>
    <xf numFmtId="170" fontId="4" fillId="22" borderId="35" applyAlignment="1" pivotButton="0" quotePrefix="0" xfId="12">
      <alignment vertical="center"/>
    </xf>
    <xf numFmtId="185" fontId="0" fillId="0" borderId="64" pivotButton="0" quotePrefix="0" xfId="0"/>
    <xf numFmtId="0" fontId="0" fillId="0" borderId="64" pivotButton="0" quotePrefix="0" xfId="0"/>
    <xf numFmtId="0" fontId="0" fillId="0" borderId="22" pivotButton="0" quotePrefix="0" xfId="0"/>
    <xf numFmtId="39" fontId="31" fillId="23" borderId="35" applyAlignment="1" pivotButton="0" quotePrefix="0" xfId="12">
      <alignment horizontal="center" vertical="center"/>
    </xf>
    <xf numFmtId="186" fontId="0" fillId="0" borderId="35" pivotButton="0" quotePrefix="0" xfId="12"/>
    <xf numFmtId="2" fontId="0" fillId="0" borderId="35" pivotButton="0" quotePrefix="0" xfId="0"/>
    <xf numFmtId="0" fontId="0" fillId="0" borderId="23" pivotButton="0" quotePrefix="0" xfId="0"/>
    <xf numFmtId="187" fontId="0" fillId="0" borderId="0" pivotButton="0" quotePrefix="0" xfId="0"/>
    <xf numFmtId="3" fontId="1" fillId="0" borderId="34" applyAlignment="1" pivotButton="0" quotePrefix="0" xfId="11">
      <alignment horizontal="center"/>
    </xf>
    <xf numFmtId="3" fontId="4" fillId="0" borderId="0" applyAlignment="1" pivotButton="0" quotePrefix="0" xfId="11">
      <alignment horizontal="center"/>
    </xf>
    <xf numFmtId="3" fontId="1" fillId="0" borderId="0" applyAlignment="1" pivotButton="0" quotePrefix="0" xfId="11">
      <alignment horizontal="center"/>
    </xf>
    <xf numFmtId="0" fontId="0" fillId="0" borderId="19" pivotButton="0" quotePrefix="0" xfId="0"/>
    <xf numFmtId="0" fontId="0" fillId="31" borderId="65" applyAlignment="1" pivotButton="0" quotePrefix="0" xfId="0">
      <alignment horizontal="center"/>
    </xf>
    <xf numFmtId="0" fontId="0" fillId="31" borderId="66" applyAlignment="1" pivotButton="0" quotePrefix="0" xfId="0">
      <alignment horizontal="center"/>
    </xf>
    <xf numFmtId="0" fontId="0" fillId="0" borderId="65" applyAlignment="1" pivotButton="0" quotePrefix="0" xfId="0">
      <alignment horizontal="center"/>
    </xf>
    <xf numFmtId="0" fontId="0" fillId="0" borderId="66" applyAlignment="1" pivotButton="0" quotePrefix="0" xfId="0">
      <alignment horizontal="center"/>
    </xf>
    <xf numFmtId="3" fontId="1" fillId="0" borderId="19" pivotButton="0" quotePrefix="0" xfId="11"/>
    <xf numFmtId="0" fontId="0" fillId="31" borderId="40" pivotButton="0" quotePrefix="0" xfId="0"/>
    <xf numFmtId="3" fontId="1" fillId="31" borderId="41" pivotButton="0" quotePrefix="0" xfId="11"/>
    <xf numFmtId="0" fontId="0" fillId="0" borderId="40" pivotButton="0" quotePrefix="0" xfId="0"/>
    <xf numFmtId="3" fontId="1" fillId="0" borderId="41" pivotButton="0" quotePrefix="0" xfId="11"/>
    <xf numFmtId="0" fontId="62" fillId="0" borderId="67" applyAlignment="1" pivotButton="0" quotePrefix="0" xfId="0">
      <alignment horizontal="center"/>
    </xf>
    <xf numFmtId="0" fontId="62" fillId="0" borderId="64" applyAlignment="1" pivotButton="0" quotePrefix="0" xfId="0">
      <alignment horizontal="center"/>
    </xf>
    <xf numFmtId="3" fontId="62" fillId="0" borderId="12" applyAlignment="1" pivotButton="0" quotePrefix="0" xfId="11">
      <alignment horizontal="center"/>
    </xf>
    <xf numFmtId="0" fontId="62" fillId="0" borderId="12" applyAlignment="1" pivotButton="0" quotePrefix="0" xfId="0">
      <alignment horizontal="center"/>
    </xf>
    <xf numFmtId="188" fontId="0" fillId="12" borderId="2" pivotButton="0" quotePrefix="0" xfId="0"/>
    <xf numFmtId="4" fontId="1" fillId="31" borderId="40" pivotButton="0" quotePrefix="0" xfId="11"/>
    <xf numFmtId="4" fontId="4" fillId="31" borderId="41" pivotButton="0" quotePrefix="0" xfId="11"/>
    <xf numFmtId="189" fontId="1" fillId="0" borderId="40" pivotButton="0" quotePrefix="0" xfId="11"/>
    <xf numFmtId="189" fontId="1" fillId="0" borderId="41" pivotButton="0" quotePrefix="0" xfId="11"/>
    <xf numFmtId="189" fontId="1" fillId="31" borderId="40" pivotButton="0" quotePrefix="0" xfId="11"/>
    <xf numFmtId="189" fontId="4" fillId="31" borderId="41" pivotButton="0" quotePrefix="0" xfId="11"/>
    <xf numFmtId="189" fontId="1" fillId="0" borderId="68" pivotButton="0" quotePrefix="0" xfId="11"/>
    <xf numFmtId="0" fontId="0" fillId="12" borderId="0" applyAlignment="1" pivotButton="0" quotePrefix="0" xfId="0">
      <alignment horizontal="center"/>
    </xf>
    <xf numFmtId="176" fontId="0" fillId="0" borderId="0" applyAlignment="1" pivotButton="0" quotePrefix="0" xfId="0">
      <alignment horizontal="center"/>
    </xf>
    <xf numFmtId="3" fontId="0" fillId="12" borderId="0" applyAlignment="1" pivotButton="0" quotePrefix="0" xfId="0">
      <alignment horizontal="center"/>
    </xf>
    <xf numFmtId="3" fontId="0" fillId="0" borderId="0" applyAlignment="1" pivotButton="0" quotePrefix="0" xfId="0">
      <alignment horizontal="center"/>
    </xf>
    <xf numFmtId="190" fontId="0" fillId="0" borderId="0" applyAlignment="1" pivotButton="0" quotePrefix="0" xfId="0">
      <alignment horizontal="center"/>
    </xf>
    <xf numFmtId="4" fontId="1" fillId="31" borderId="42" pivotButton="0" quotePrefix="0" xfId="11"/>
    <xf numFmtId="4" fontId="4" fillId="31" borderId="43" pivotButton="0" quotePrefix="0" xfId="11"/>
    <xf numFmtId="189" fontId="1" fillId="0" borderId="42" pivotButton="0" quotePrefix="0" xfId="11"/>
    <xf numFmtId="189" fontId="1" fillId="0" borderId="43" pivotButton="0" quotePrefix="0" xfId="11"/>
    <xf numFmtId="189" fontId="1" fillId="31" borderId="42" pivotButton="0" quotePrefix="0" xfId="11"/>
    <xf numFmtId="189" fontId="4" fillId="31" borderId="43" pivotButton="0" quotePrefix="0" xfId="11"/>
    <xf numFmtId="189" fontId="1" fillId="0" borderId="69" pivotButton="0" quotePrefix="0" xfId="11"/>
    <xf numFmtId="0" fontId="33" fillId="12" borderId="0" pivotButton="0" quotePrefix="0" xfId="0"/>
    <xf numFmtId="9" fontId="0" fillId="0" borderId="2" pivotButton="0" quotePrefix="0" xfId="0"/>
    <xf numFmtId="169" fontId="0" fillId="0" borderId="2" pivotButton="0" quotePrefix="0" xfId="0"/>
    <xf numFmtId="0" fontId="0" fillId="56" borderId="0" pivotButton="0" quotePrefix="0" xfId="0"/>
    <xf numFmtId="0" fontId="0" fillId="47" borderId="73" pivotButton="0" quotePrefix="0" xfId="0"/>
    <xf numFmtId="0" fontId="0" fillId="46" borderId="0" pivotButton="0" quotePrefix="0" xfId="0"/>
    <xf numFmtId="0" fontId="0" fillId="46" borderId="71" pivotButton="0" quotePrefix="0" xfId="0"/>
    <xf numFmtId="0" fontId="0" fillId="46" borderId="73" pivotButton="0" quotePrefix="0" xfId="0"/>
    <xf numFmtId="0" fontId="64" fillId="47" borderId="77" pivotButton="0" quotePrefix="0" xfId="0"/>
    <xf numFmtId="0" fontId="63" fillId="47" borderId="71" applyAlignment="1" pivotButton="0" quotePrefix="0" xfId="0">
      <alignment horizontal="left" vertical="center"/>
    </xf>
    <xf numFmtId="0" fontId="63" fillId="47" borderId="76" applyAlignment="1" pivotButton="0" quotePrefix="0" xfId="0">
      <alignment horizontal="left" vertical="center"/>
    </xf>
    <xf numFmtId="0" fontId="49" fillId="57" borderId="0" applyAlignment="1" pivotButton="0" quotePrefix="0" xfId="0">
      <alignment horizontal="center" vertical="center"/>
    </xf>
    <xf numFmtId="0" fontId="63" fillId="57" borderId="75" applyAlignment="1" pivotButton="0" quotePrefix="0" xfId="0">
      <alignment horizontal="center" vertical="center"/>
    </xf>
    <xf numFmtId="1" fontId="4" fillId="0" borderId="0" pivotButton="0" quotePrefix="0" xfId="0"/>
    <xf numFmtId="0" fontId="0" fillId="0" borderId="1" applyAlignment="1" pivotButton="0" quotePrefix="0" xfId="0">
      <alignment horizontal="right"/>
    </xf>
    <xf numFmtId="9" fontId="0" fillId="0" borderId="24" pivotButton="0" quotePrefix="0" xfId="0"/>
    <xf numFmtId="9" fontId="0" fillId="0" borderId="1" pivotButton="0" quotePrefix="0" xfId="0"/>
    <xf numFmtId="0" fontId="12" fillId="6" borderId="2" applyAlignment="1" pivotButton="0" quotePrefix="0" xfId="4">
      <alignment horizontal="center" vertical="center" wrapText="1" readingOrder="1"/>
    </xf>
    <xf numFmtId="0" fontId="12" fillId="6" borderId="67" applyAlignment="1" pivotButton="0" quotePrefix="0" xfId="4">
      <alignment horizontal="center" vertical="center" readingOrder="1"/>
    </xf>
    <xf numFmtId="9" fontId="0" fillId="0" borderId="78" pivotButton="0" quotePrefix="0" xfId="0"/>
    <xf numFmtId="0" fontId="0" fillId="0" borderId="78" pivotButton="0" quotePrefix="0" xfId="0"/>
    <xf numFmtId="0" fontId="0" fillId="0" borderId="12" pivotButton="0" quotePrefix="0" xfId="0"/>
    <xf numFmtId="0" fontId="12" fillId="6" borderId="2" applyAlignment="1" pivotButton="0" quotePrefix="0" xfId="4">
      <alignment horizontal="left" vertical="center" readingOrder="1"/>
    </xf>
    <xf numFmtId="0" fontId="0" fillId="0" borderId="1" applyAlignment="1" pivotButton="0" quotePrefix="0" xfId="0">
      <alignment horizontal="left"/>
    </xf>
    <xf numFmtId="0" fontId="0" fillId="0" borderId="0" pivotButton="0" quotePrefix="0" xfId="8"/>
    <xf numFmtId="1" fontId="69" fillId="0" borderId="0" pivotButton="0" quotePrefix="0" xfId="0"/>
    <xf numFmtId="49" fontId="0" fillId="0" borderId="0" applyAlignment="1" pivotButton="0" quotePrefix="1" xfId="0">
      <alignment horizontal="right"/>
    </xf>
    <xf numFmtId="49" fontId="0" fillId="0" borderId="0" applyAlignment="1" pivotButton="0" quotePrefix="0" xfId="0">
      <alignment horizontal="right"/>
    </xf>
    <xf numFmtId="49" fontId="0" fillId="0" borderId="0" pivotButton="0" quotePrefix="0" xfId="0"/>
    <xf numFmtId="0" fontId="4" fillId="59" borderId="82" pivotButton="0" quotePrefix="0" xfId="0"/>
    <xf numFmtId="0" fontId="30" fillId="60" borderId="83" applyAlignment="1" pivotButton="0" quotePrefix="0" xfId="0">
      <alignment horizontal="center"/>
    </xf>
    <xf numFmtId="0" fontId="71" fillId="60" borderId="84" applyAlignment="1" pivotButton="0" quotePrefix="0" xfId="0">
      <alignment horizontal="left"/>
    </xf>
    <xf numFmtId="49" fontId="30" fillId="60" borderId="83" applyAlignment="1" pivotButton="0" quotePrefix="0" xfId="0">
      <alignment horizontal="center"/>
    </xf>
    <xf numFmtId="0" fontId="67" fillId="61" borderId="82" pivotButton="0" quotePrefix="0" xfId="0"/>
    <xf numFmtId="0" fontId="68" fillId="61" borderId="83" pivotButton="0" quotePrefix="0" xfId="0"/>
    <xf numFmtId="0" fontId="68" fillId="61" borderId="84" pivotButton="0" quotePrefix="0" xfId="0"/>
    <xf numFmtId="0" fontId="4" fillId="62" borderId="82" pivotButton="0" quotePrefix="0" xfId="0"/>
    <xf numFmtId="0" fontId="30" fillId="63" borderId="83" applyAlignment="1" pivotButton="0" quotePrefix="0" xfId="0">
      <alignment horizontal="right"/>
    </xf>
    <xf numFmtId="0" fontId="71" fillId="63" borderId="84" pivotButton="0" quotePrefix="0" xfId="0"/>
    <xf numFmtId="0" fontId="4" fillId="62" borderId="85" pivotButton="0" quotePrefix="0" xfId="0"/>
    <xf numFmtId="0" fontId="30" fillId="63" borderId="86" applyAlignment="1" pivotButton="0" quotePrefix="0" xfId="0">
      <alignment horizontal="right"/>
    </xf>
    <xf numFmtId="0" fontId="71" fillId="63" borderId="87" pivotButton="0" quotePrefix="0" xfId="0"/>
    <xf numFmtId="0" fontId="4" fillId="65" borderId="91" pivotButton="0" quotePrefix="0" xfId="0"/>
    <xf numFmtId="0" fontId="30" fillId="66" borderId="92" applyAlignment="1" pivotButton="0" quotePrefix="0" xfId="0">
      <alignment horizontal="center"/>
    </xf>
    <xf numFmtId="0" fontId="71" fillId="66" borderId="93" applyAlignment="1" pivotButton="0" quotePrefix="0" xfId="0">
      <alignment horizontal="left"/>
    </xf>
    <xf numFmtId="49" fontId="30" fillId="66" borderId="92" applyAlignment="1" pivotButton="0" quotePrefix="0" xfId="0">
      <alignment horizontal="center"/>
    </xf>
    <xf numFmtId="0" fontId="67" fillId="61" borderId="91" pivotButton="0" quotePrefix="0" xfId="0"/>
    <xf numFmtId="0" fontId="68" fillId="61" borderId="92" pivotButton="0" quotePrefix="0" xfId="0"/>
    <xf numFmtId="0" fontId="68" fillId="61" borderId="93" pivotButton="0" quotePrefix="0" xfId="0"/>
    <xf numFmtId="0" fontId="4" fillId="68" borderId="91" pivotButton="0" quotePrefix="0" xfId="0"/>
    <xf numFmtId="0" fontId="30" fillId="60" borderId="92" applyAlignment="1" pivotButton="0" quotePrefix="0" xfId="0">
      <alignment horizontal="right"/>
    </xf>
    <xf numFmtId="0" fontId="71" fillId="60" borderId="93" pivotButton="0" quotePrefix="0" xfId="0"/>
    <xf numFmtId="0" fontId="4" fillId="68" borderId="94" pivotButton="0" quotePrefix="0" xfId="0"/>
    <xf numFmtId="0" fontId="30" fillId="60" borderId="95" applyAlignment="1" pivotButton="0" quotePrefix="0" xfId="0">
      <alignment horizontal="right"/>
    </xf>
    <xf numFmtId="0" fontId="71" fillId="60" borderId="96" pivotButton="0" quotePrefix="0" xfId="0"/>
    <xf numFmtId="0" fontId="4" fillId="70" borderId="100" pivotButton="0" quotePrefix="0" xfId="0"/>
    <xf numFmtId="0" fontId="30" fillId="71" borderId="101" applyAlignment="1" pivotButton="0" quotePrefix="0" xfId="0">
      <alignment horizontal="center"/>
    </xf>
    <xf numFmtId="0" fontId="71" fillId="71" borderId="102" applyAlignment="1" pivotButton="0" quotePrefix="0" xfId="0">
      <alignment horizontal="left"/>
    </xf>
    <xf numFmtId="49" fontId="30" fillId="71" borderId="101" applyAlignment="1" pivotButton="0" quotePrefix="0" xfId="0">
      <alignment horizontal="center"/>
    </xf>
    <xf numFmtId="0" fontId="67" fillId="61" borderId="100" pivotButton="0" quotePrefix="0" xfId="0"/>
    <xf numFmtId="0" fontId="68" fillId="61" borderId="101" pivotButton="0" quotePrefix="0" xfId="0"/>
    <xf numFmtId="0" fontId="68" fillId="61" borderId="102" pivotButton="0" quotePrefix="0" xfId="0"/>
    <xf numFmtId="0" fontId="4" fillId="73" borderId="100" pivotButton="0" quotePrefix="0" xfId="0"/>
    <xf numFmtId="0" fontId="30" fillId="74" borderId="101" applyAlignment="1" pivotButton="0" quotePrefix="0" xfId="0">
      <alignment horizontal="right"/>
    </xf>
    <xf numFmtId="0" fontId="71" fillId="74" borderId="102" pivotButton="0" quotePrefix="0" xfId="0"/>
    <xf numFmtId="0" fontId="4" fillId="73" borderId="103" pivotButton="0" quotePrefix="0" xfId="0"/>
    <xf numFmtId="0" fontId="30" fillId="74" borderId="104" applyAlignment="1" pivotButton="0" quotePrefix="0" xfId="0">
      <alignment horizontal="right"/>
    </xf>
    <xf numFmtId="0" fontId="71" fillId="74" borderId="105" pivotButton="0" quotePrefix="0" xfId="0"/>
    <xf numFmtId="9" fontId="4" fillId="60" borderId="0" pivotButton="0" quotePrefix="0" xfId="0"/>
    <xf numFmtId="191" fontId="4" fillId="66" borderId="34" pivotButton="0" quotePrefix="0" xfId="0"/>
    <xf numFmtId="0" fontId="4" fillId="66" borderId="33" pivotButton="0" quotePrefix="0" xfId="0"/>
    <xf numFmtId="0" fontId="0" fillId="0" borderId="67" pivotButton="0" quotePrefix="0" xfId="0"/>
    <xf numFmtId="0" fontId="4" fillId="66" borderId="39" pivotButton="0" quotePrefix="0" xfId="0"/>
    <xf numFmtId="0" fontId="12" fillId="6" borderId="0" applyAlignment="1" pivotButton="0" quotePrefix="0" xfId="0">
      <alignment horizontal="center"/>
    </xf>
    <xf numFmtId="0" fontId="77" fillId="0" borderId="0" applyAlignment="1" pivotButton="0" quotePrefix="0" xfId="0">
      <alignment horizontal="center"/>
    </xf>
    <xf numFmtId="0" fontId="12" fillId="17" borderId="0" applyAlignment="1" pivotButton="0" quotePrefix="0" xfId="0">
      <alignment horizontal="center"/>
    </xf>
    <xf numFmtId="0" fontId="12" fillId="76" borderId="0" applyAlignment="1" pivotButton="0" quotePrefix="0" xfId="0">
      <alignment horizontal="center"/>
    </xf>
    <xf numFmtId="0" fontId="78" fillId="0" borderId="0" applyAlignment="1" pivotButton="0" quotePrefix="0" xfId="0">
      <alignment horizontal="center"/>
    </xf>
    <xf numFmtId="0" fontId="80" fillId="62" borderId="0" applyAlignment="1" pivotButton="0" quotePrefix="0" xfId="0">
      <alignment horizontal="center"/>
    </xf>
    <xf numFmtId="0" fontId="8" fillId="0" borderId="0" applyAlignment="1" pivotButton="0" quotePrefix="0" xfId="0">
      <alignment horizontal="center"/>
    </xf>
    <xf numFmtId="16" fontId="8" fillId="0" borderId="0" pivotButton="0" quotePrefix="0" xfId="0"/>
    <xf numFmtId="9" fontId="8" fillId="0" borderId="0" pivotButton="0" quotePrefix="0" xfId="0"/>
    <xf numFmtId="0" fontId="80" fillId="58" borderId="0" pivotButton="0" quotePrefix="0" xfId="0"/>
    <xf numFmtId="0" fontId="80" fillId="71" borderId="0" pivotButton="0" quotePrefix="0" xfId="0"/>
    <xf numFmtId="0" fontId="80" fillId="77" borderId="0" pivotButton="0" quotePrefix="0" xfId="0"/>
    <xf numFmtId="0" fontId="80" fillId="62" borderId="0" pivotButton="0" quotePrefix="0" xfId="0"/>
    <xf numFmtId="0" fontId="80" fillId="78" borderId="0" pivotButton="0" quotePrefix="0" xfId="0"/>
    <xf numFmtId="0" fontId="80" fillId="60" borderId="0" pivotButton="0" quotePrefix="0" xfId="0"/>
    <xf numFmtId="0" fontId="80" fillId="7" borderId="0" pivotButton="0" quotePrefix="0" xfId="0"/>
    <xf numFmtId="0" fontId="80" fillId="82" borderId="0" pivotButton="0" quotePrefix="0" xfId="0"/>
    <xf numFmtId="0" fontId="13" fillId="12" borderId="0" pivotButton="0" quotePrefix="0" xfId="0"/>
    <xf numFmtId="43" fontId="1" fillId="7" borderId="0" applyAlignment="1" pivotButton="0" quotePrefix="0" xfId="1">
      <alignment vertical="center"/>
    </xf>
    <xf numFmtId="0" fontId="65" fillId="47" borderId="72" applyAlignment="1" pivotButton="0" quotePrefix="0" xfId="0">
      <alignment horizontal="center" vertical="center"/>
    </xf>
    <xf numFmtId="0" fontId="0" fillId="0" borderId="70" pivotButton="0" quotePrefix="0" xfId="0"/>
    <xf numFmtId="0" fontId="0" fillId="0" borderId="74" pivotButton="0" quotePrefix="0" xfId="0"/>
    <xf numFmtId="0" fontId="49" fillId="47" borderId="26" applyAlignment="1" pivotButton="0" quotePrefix="0" xfId="0">
      <alignment horizontal="left"/>
    </xf>
    <xf numFmtId="0" fontId="50" fillId="47" borderId="51" applyAlignment="1" pivotButton="0" quotePrefix="0" xfId="0">
      <alignment horizontal="left"/>
    </xf>
    <xf numFmtId="49" fontId="48" fillId="30" borderId="0" applyAlignment="1" applyProtection="1" pivotButton="0" quotePrefix="0" xfId="0">
      <alignment horizontal="center"/>
      <protection locked="0" hidden="0"/>
    </xf>
    <xf numFmtId="0" fontId="1" fillId="7" borderId="0" applyAlignment="1" pivotButton="0" quotePrefix="0" xfId="2">
      <alignment horizontal="center"/>
    </xf>
    <xf numFmtId="0" fontId="1" fillId="8" borderId="0" pivotButton="0" quotePrefix="0" xfId="2"/>
    <xf numFmtId="0" fontId="1" fillId="7" borderId="0" pivotButton="0" quotePrefix="0" xfId="2"/>
    <xf numFmtId="0" fontId="10" fillId="49" borderId="50" applyAlignment="1" pivotButton="0" quotePrefix="0" xfId="0">
      <alignment horizontal="center"/>
    </xf>
    <xf numFmtId="0" fontId="0" fillId="0" borderId="0" pivotButton="0" quotePrefix="0" xfId="0"/>
    <xf numFmtId="0" fontId="0" fillId="0" borderId="51" pivotButton="0" quotePrefix="0" xfId="0"/>
    <xf numFmtId="168" fontId="51" fillId="48" borderId="44" applyAlignment="1" pivotButton="0" quotePrefix="0" xfId="0">
      <alignment horizontal="center"/>
    </xf>
    <xf numFmtId="0" fontId="0" fillId="43" borderId="26" pivotButton="0" quotePrefix="0" xfId="0"/>
    <xf numFmtId="0" fontId="0" fillId="43" borderId="52" pivotButton="0" quotePrefix="0" xfId="0"/>
    <xf numFmtId="0" fontId="0" fillId="0" borderId="53" pivotButton="0" quotePrefix="0" xfId="0"/>
    <xf numFmtId="0" fontId="0" fillId="0" borderId="54" pivotButton="0" quotePrefix="0" xfId="0"/>
    <xf numFmtId="168" fontId="52" fillId="50" borderId="50" applyAlignment="1" pivotButton="0" quotePrefix="0" xfId="0">
      <alignment horizontal="center" vertical="center"/>
    </xf>
    <xf numFmtId="9" fontId="46" fillId="45" borderId="44" applyAlignment="1" applyProtection="1" pivotButton="0" quotePrefix="0" xfId="0">
      <alignment horizontal="center" vertical="center"/>
      <protection locked="0" hidden="0"/>
    </xf>
    <xf numFmtId="0" fontId="47" fillId="46" borderId="50" applyAlignment="1" pivotButton="0" quotePrefix="0" xfId="0">
      <alignment horizontal="center" vertical="center"/>
    </xf>
    <xf numFmtId="0" fontId="65" fillId="47" borderId="72" applyAlignment="1" pivotButton="0" quotePrefix="0" xfId="0">
      <alignment horizontal="center" vertical="center"/>
    </xf>
    <xf numFmtId="0" fontId="0" fillId="0" borderId="70" pivotButton="0" quotePrefix="0" xfId="0"/>
    <xf numFmtId="0" fontId="0" fillId="0" borderId="74" pivotButton="0" quotePrefix="0" xfId="0"/>
    <xf numFmtId="0" fontId="4" fillId="0" borderId="0" applyAlignment="1" pivotButton="0" quotePrefix="0" xfId="0">
      <alignment horizontal="left" vertical="center"/>
    </xf>
    <xf numFmtId="0" fontId="4" fillId="0" borderId="1" applyAlignment="1" pivotButton="0" quotePrefix="0" xfId="0">
      <alignment horizontal="left" vertical="center"/>
    </xf>
    <xf numFmtId="0" fontId="30" fillId="0" borderId="47" applyAlignment="1" pivotButton="0" quotePrefix="0" xfId="11">
      <alignment horizontal="center" vertical="center"/>
    </xf>
    <xf numFmtId="0" fontId="30" fillId="0" borderId="49" applyAlignment="1" pivotButton="0" quotePrefix="0" xfId="11">
      <alignment horizontal="center" vertical="center"/>
    </xf>
    <xf numFmtId="0" fontId="61" fillId="19" borderId="0" applyAlignment="1" pivotButton="0" quotePrefix="0" xfId="0">
      <alignment horizontal="center"/>
    </xf>
    <xf numFmtId="0" fontId="2" fillId="0" borderId="0" applyAlignment="1" pivotButton="0" quotePrefix="0" xfId="0">
      <alignment horizontal="center" vertical="center"/>
    </xf>
    <xf numFmtId="173" fontId="0" fillId="0" borderId="0" applyAlignment="1" pivotButton="0" quotePrefix="0" xfId="1">
      <alignment horizontal="center" vertical="center" wrapText="1"/>
    </xf>
    <xf numFmtId="173" fontId="0" fillId="0" borderId="0" applyAlignment="1" pivotButton="0" quotePrefix="0" xfId="1">
      <alignment horizontal="center" vertical="center"/>
    </xf>
    <xf numFmtId="0" fontId="0" fillId="0" borderId="0" applyAlignment="1" pivotButton="0" quotePrefix="0" xfId="0">
      <alignment horizontal="center" vertical="center"/>
    </xf>
    <xf numFmtId="166" fontId="0" fillId="0" borderId="0" applyAlignment="1" pivotButton="0" quotePrefix="0" xfId="1">
      <alignment vertical="center"/>
    </xf>
    <xf numFmtId="166" fontId="0" fillId="0" borderId="0" applyAlignment="1" pivotButton="0" quotePrefix="0" xfId="1">
      <alignment vertical="center"/>
    </xf>
    <xf numFmtId="0" fontId="0" fillId="0" borderId="0" applyAlignment="1" pivotButton="0" quotePrefix="1" xfId="0">
      <alignment horizontal="center" vertical="center"/>
    </xf>
    <xf numFmtId="0" fontId="0" fillId="0" borderId="0" applyAlignment="1" pivotButton="0" quotePrefix="0" xfId="0">
      <alignment vertical="center"/>
    </xf>
    <xf numFmtId="0" fontId="70" fillId="4" borderId="79" applyAlignment="1" pivotButton="0" quotePrefix="0" xfId="0">
      <alignment horizontal="center" vertical="center"/>
    </xf>
    <xf numFmtId="0" fontId="70" fillId="4" borderId="80" applyAlignment="1" pivotButton="0" quotePrefix="0" xfId="0">
      <alignment horizontal="center" vertical="center"/>
    </xf>
    <xf numFmtId="0" fontId="70" fillId="4" borderId="81" applyAlignment="1" pivotButton="0" quotePrefix="0" xfId="0">
      <alignment horizontal="center" vertical="center"/>
    </xf>
    <xf numFmtId="0" fontId="66" fillId="5" borderId="82" applyAlignment="1" pivotButton="0" quotePrefix="0" xfId="0">
      <alignment horizontal="center"/>
    </xf>
    <xf numFmtId="0" fontId="66" fillId="5" borderId="83" applyAlignment="1" pivotButton="0" quotePrefix="0" xfId="0">
      <alignment horizontal="center"/>
    </xf>
    <xf numFmtId="0" fontId="66" fillId="5" borderId="84" applyAlignment="1" pivotButton="0" quotePrefix="0" xfId="0">
      <alignment horizontal="center"/>
    </xf>
    <xf numFmtId="0" fontId="70" fillId="64" borderId="88" applyAlignment="1" pivotButton="0" quotePrefix="0" xfId="0">
      <alignment horizontal="center" vertical="center"/>
    </xf>
    <xf numFmtId="0" fontId="70" fillId="64" borderId="89" applyAlignment="1" pivotButton="0" quotePrefix="0" xfId="0">
      <alignment horizontal="center" vertical="center"/>
    </xf>
    <xf numFmtId="0" fontId="70" fillId="64" borderId="90" applyAlignment="1" pivotButton="0" quotePrefix="0" xfId="0">
      <alignment horizontal="center" vertical="center"/>
    </xf>
    <xf numFmtId="0" fontId="66" fillId="67" borderId="91" applyAlignment="1" pivotButton="0" quotePrefix="0" xfId="0">
      <alignment horizontal="center"/>
    </xf>
    <xf numFmtId="0" fontId="66" fillId="67" borderId="92" applyAlignment="1" pivotButton="0" quotePrefix="0" xfId="0">
      <alignment horizontal="center"/>
    </xf>
    <xf numFmtId="0" fontId="66" fillId="67" borderId="93" applyAlignment="1" pivotButton="0" quotePrefix="0" xfId="0">
      <alignment horizontal="center"/>
    </xf>
    <xf numFmtId="0" fontId="70" fillId="69" borderId="97" applyAlignment="1" pivotButton="0" quotePrefix="0" xfId="0">
      <alignment horizontal="center" vertical="center"/>
    </xf>
    <xf numFmtId="0" fontId="70" fillId="69" borderId="98" applyAlignment="1" pivotButton="0" quotePrefix="0" xfId="0">
      <alignment horizontal="center" vertical="center"/>
    </xf>
    <xf numFmtId="0" fontId="70" fillId="69" borderId="99" applyAlignment="1" pivotButton="0" quotePrefix="0" xfId="0">
      <alignment horizontal="center" vertical="center"/>
    </xf>
    <xf numFmtId="0" fontId="66" fillId="72" borderId="100" applyAlignment="1" pivotButton="0" quotePrefix="0" xfId="0">
      <alignment horizontal="center"/>
    </xf>
    <xf numFmtId="0" fontId="66" fillId="72" borderId="101" applyAlignment="1" pivotButton="0" quotePrefix="0" xfId="0">
      <alignment horizontal="center"/>
    </xf>
    <xf numFmtId="0" fontId="66" fillId="72" borderId="102" applyAlignment="1" pivotButton="0" quotePrefix="0" xfId="0">
      <alignment horizontal="center"/>
    </xf>
    <xf numFmtId="192" fontId="0" fillId="0" borderId="0" applyAlignment="1" pivotButton="0" quotePrefix="0" xfId="0">
      <alignment horizontal="center" vertical="center"/>
    </xf>
    <xf numFmtId="0" fontId="72" fillId="75" borderId="32" applyAlignment="1" pivotButton="0" quotePrefix="0" xfId="0">
      <alignment horizontal="center"/>
    </xf>
    <xf numFmtId="0" fontId="72" fillId="75" borderId="24" applyAlignment="1" pivotButton="0" quotePrefix="0" xfId="0">
      <alignment horizontal="center"/>
    </xf>
    <xf numFmtId="0" fontId="72" fillId="75" borderId="38" applyAlignment="1" pivotButton="0" quotePrefix="0" xfId="0">
      <alignment horizontal="center"/>
    </xf>
    <xf numFmtId="0" fontId="73" fillId="66" borderId="12" applyAlignment="1" pivotButton="0" quotePrefix="0" xfId="0">
      <alignment horizontal="center"/>
    </xf>
    <xf numFmtId="0" fontId="73" fillId="66" borderId="0" applyAlignment="1" pivotButton="0" quotePrefix="0" xfId="0">
      <alignment horizontal="center"/>
    </xf>
    <xf numFmtId="0" fontId="73" fillId="66" borderId="67" applyAlignment="1" pivotButton="0" quotePrefix="0" xfId="0">
      <alignment horizontal="center"/>
    </xf>
    <xf numFmtId="0" fontId="0" fillId="0"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24" applyAlignment="1" pivotButton="0" quotePrefix="0" xfId="0">
      <alignment horizontal="center" vertical="center"/>
    </xf>
    <xf numFmtId="0" fontId="0" fillId="0" borderId="1" applyAlignment="1" pivotButton="0" quotePrefix="0" xfId="0">
      <alignment horizontal="center" vertical="center"/>
    </xf>
    <xf numFmtId="0" fontId="0" fillId="0" borderId="0" applyAlignment="1" pivotButton="0" quotePrefix="0" xfId="0">
      <alignment horizontal="left" vertical="center"/>
    </xf>
    <xf numFmtId="0" fontId="12" fillId="6" borderId="12" applyAlignment="1" pivotButton="0" quotePrefix="0" xfId="4">
      <alignment horizontal="center" vertical="center" readingOrder="1"/>
    </xf>
    <xf numFmtId="0" fontId="12" fillId="6" borderId="0" applyAlignment="1" pivotButton="0" quotePrefix="0" xfId="4">
      <alignment horizontal="center" vertical="center" readingOrder="1"/>
    </xf>
    <xf numFmtId="0" fontId="12" fillId="6" borderId="32" applyAlignment="1" pivotButton="0" quotePrefix="0" xfId="4">
      <alignment horizontal="center" vertical="center" readingOrder="1"/>
    </xf>
    <xf numFmtId="0" fontId="12" fillId="6" borderId="38" applyAlignment="1" pivotButton="0" quotePrefix="0" xfId="4">
      <alignment horizontal="center" vertical="center" readingOrder="1"/>
    </xf>
    <xf numFmtId="0" fontId="0" fillId="0" borderId="24"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78" applyAlignment="1" pivotButton="0" quotePrefix="0" xfId="0">
      <alignment horizontal="left" vertical="center"/>
    </xf>
    <xf numFmtId="0" fontId="0" fillId="0" borderId="1" applyAlignment="1" pivotButton="0" quotePrefix="0" xfId="0">
      <alignment horizontal="left" vertical="center"/>
    </xf>
    <xf numFmtId="0" fontId="0" fillId="0" borderId="78" applyAlignment="1" pivotButton="0" quotePrefix="0" xfId="0">
      <alignment horizontal="center" vertical="center"/>
    </xf>
    <xf numFmtId="0" fontId="0" fillId="0" borderId="78" applyAlignment="1" pivotButton="0" quotePrefix="0" xfId="0">
      <alignment horizontal="center" vertical="center" wrapText="1"/>
    </xf>
    <xf numFmtId="0" fontId="1" fillId="16" borderId="2" applyAlignment="1" pivotButton="0" quotePrefix="0" xfId="9">
      <alignment horizontal="center" vertical="center"/>
    </xf>
    <xf numFmtId="0" fontId="1" fillId="28" borderId="2" applyAlignment="1" pivotButton="0" quotePrefix="0" xfId="18">
      <alignment horizontal="center" vertical="center"/>
    </xf>
    <xf numFmtId="0" fontId="19" fillId="31" borderId="34" applyAlignment="1" pivotButton="0" quotePrefix="0" xfId="0">
      <alignment horizontal="center" vertical="center"/>
    </xf>
    <xf numFmtId="0" fontId="8" fillId="0" borderId="0" pivotButton="0" quotePrefix="0" xfId="0"/>
    <xf numFmtId="0" fontId="74" fillId="0" borderId="0" applyAlignment="1" pivotButton="0" quotePrefix="0" xfId="0">
      <alignment horizontal="center"/>
    </xf>
    <xf numFmtId="0" fontId="75" fillId="0" borderId="0" applyAlignment="1" pivotButton="0" quotePrefix="0" xfId="0">
      <alignment horizontal="center"/>
    </xf>
    <xf numFmtId="0" fontId="76" fillId="7" borderId="0" pivotButton="0" quotePrefix="0" xfId="0"/>
    <xf numFmtId="0" fontId="79" fillId="6" borderId="0" pivotButton="0" quotePrefix="0" xfId="0"/>
    <xf numFmtId="0" fontId="79" fillId="17" borderId="0" applyAlignment="1" pivotButton="0" quotePrefix="0" xfId="0">
      <alignment horizontal="center"/>
    </xf>
    <xf numFmtId="0" fontId="79" fillId="76" borderId="0" pivotButton="0" quotePrefix="0" xfId="0"/>
    <xf numFmtId="0" fontId="79" fillId="69" borderId="0" pivotButton="0" quotePrefix="0" xfId="0"/>
    <xf numFmtId="0" fontId="81" fillId="0" borderId="0" pivotButton="0" quotePrefix="0" xfId="0"/>
    <xf numFmtId="0" fontId="79" fillId="10" borderId="0" pivotButton="0" quotePrefix="0" xfId="0"/>
    <xf numFmtId="0" fontId="79" fillId="22" borderId="0" pivotButton="0" quotePrefix="0" xfId="0"/>
    <xf numFmtId="0" fontId="82" fillId="75" borderId="0" pivotButton="0" quotePrefix="0" xfId="0"/>
    <xf numFmtId="0" fontId="83" fillId="0" borderId="0" pivotButton="0" quotePrefix="0" xfId="0"/>
    <xf numFmtId="0" fontId="82" fillId="79" borderId="0" pivotButton="0" quotePrefix="0" xfId="0"/>
    <xf numFmtId="0" fontId="79" fillId="80" borderId="0" pivotButton="0" quotePrefix="0" xfId="0"/>
    <xf numFmtId="0" fontId="79" fillId="81" borderId="0" pivotButton="0" quotePrefix="0" xfId="0"/>
    <xf numFmtId="0" fontId="80" fillId="0" borderId="0" pivotButton="0" quotePrefix="0" xfId="0"/>
    <xf numFmtId="193" fontId="1" fillId="7" borderId="0" pivotButton="0" quotePrefix="0" xfId="0"/>
    <xf numFmtId="173" fontId="0" fillId="0" borderId="0" pivotButton="0" quotePrefix="0" xfId="0"/>
    <xf numFmtId="165" fontId="13" fillId="7" borderId="30" pivotButton="0" quotePrefix="0" xfId="1"/>
    <xf numFmtId="171" fontId="13" fillId="7" borderId="31" pivotButton="0" quotePrefix="0" xfId="1"/>
    <xf numFmtId="165" fontId="13" fillId="8" borderId="30" pivotButton="0" quotePrefix="0" xfId="1"/>
    <xf numFmtId="171" fontId="13" fillId="8" borderId="31" pivotButton="0" quotePrefix="0" xfId="1"/>
    <xf numFmtId="169" fontId="0" fillId="0" borderId="0" pivotButton="0" quotePrefix="0" xfId="2"/>
    <xf numFmtId="169" fontId="0" fillId="0" borderId="1" pivotButton="0" quotePrefix="0" xfId="2"/>
    <xf numFmtId="0" fontId="30" fillId="0" borderId="20" applyAlignment="1" pivotButton="0" quotePrefix="0" xfId="11">
      <alignment horizontal="center" vertical="center"/>
    </xf>
    <xf numFmtId="0" fontId="0" fillId="0" borderId="49" pivotButton="0" quotePrefix="0" xfId="0"/>
    <xf numFmtId="169" fontId="4" fillId="12" borderId="20" applyAlignment="1" pivotButton="0" quotePrefix="0" xfId="11">
      <alignment horizontal="center"/>
    </xf>
    <xf numFmtId="183" fontId="0" fillId="0" borderId="0" pivotButton="0" quotePrefix="0" xfId="0"/>
    <xf numFmtId="184" fontId="31" fillId="0" borderId="35" applyAlignment="1" pivotButton="0" quotePrefix="0" xfId="11">
      <alignment horizontal="center" vertical="center"/>
    </xf>
    <xf numFmtId="165" fontId="31" fillId="0" borderId="35" applyAlignment="1" pivotButton="0" quotePrefix="0" xfId="12">
      <alignment horizontal="center" vertical="center"/>
    </xf>
    <xf numFmtId="170" fontId="4" fillId="0" borderId="35" applyAlignment="1" pivotButton="0" quotePrefix="0" xfId="12">
      <alignment vertical="center"/>
    </xf>
    <xf numFmtId="170" fontId="4" fillId="9" borderId="35" applyAlignment="1" pivotButton="0" quotePrefix="0" xfId="12">
      <alignment vertical="center"/>
    </xf>
    <xf numFmtId="170" fontId="4" fillId="22" borderId="35" applyAlignment="1" pivotButton="0" quotePrefix="0" xfId="12">
      <alignment vertical="center"/>
    </xf>
    <xf numFmtId="185" fontId="0" fillId="0" borderId="64" pivotButton="0" quotePrefix="0" xfId="0"/>
    <xf numFmtId="186" fontId="0" fillId="0" borderId="35" pivotButton="0" quotePrefix="0" xfId="12"/>
    <xf numFmtId="178" fontId="0" fillId="0" borderId="0" pivotButton="0" quotePrefix="0" xfId="0"/>
    <xf numFmtId="187" fontId="0" fillId="0" borderId="0" pivotButton="0" quotePrefix="0" xfId="0"/>
    <xf numFmtId="188" fontId="0" fillId="12" borderId="2" pivotButton="0" quotePrefix="0" xfId="0"/>
    <xf numFmtId="189" fontId="1" fillId="0" borderId="40" pivotButton="0" quotePrefix="0" xfId="11"/>
    <xf numFmtId="189" fontId="1" fillId="0" borderId="41" pivotButton="0" quotePrefix="0" xfId="11"/>
    <xf numFmtId="189" fontId="1" fillId="31" borderId="40" pivotButton="0" quotePrefix="0" xfId="11"/>
    <xf numFmtId="189" fontId="4" fillId="31" borderId="41" pivotButton="0" quotePrefix="0" xfId="11"/>
    <xf numFmtId="189" fontId="1" fillId="0" borderId="68" pivotButton="0" quotePrefix="0" xfId="11"/>
    <xf numFmtId="190" fontId="0" fillId="0" borderId="0" applyAlignment="1" pivotButton="0" quotePrefix="0" xfId="0">
      <alignment horizontal="center"/>
    </xf>
    <xf numFmtId="189" fontId="1" fillId="0" borderId="42" pivotButton="0" quotePrefix="0" xfId="11"/>
    <xf numFmtId="189" fontId="1" fillId="0" borderId="43" pivotButton="0" quotePrefix="0" xfId="11"/>
    <xf numFmtId="189" fontId="1" fillId="31" borderId="42" pivotButton="0" quotePrefix="0" xfId="11"/>
    <xf numFmtId="189" fontId="4" fillId="31" borderId="43" pivotButton="0" quotePrefix="0" xfId="11"/>
    <xf numFmtId="189" fontId="1" fillId="0" borderId="69" pivotButton="0" quotePrefix="0" xfId="11"/>
    <xf numFmtId="169" fontId="0" fillId="0" borderId="2" pivotButton="0" quotePrefix="0" xfId="0"/>
    <xf numFmtId="169" fontId="0" fillId="0" borderId="4" pivotButton="0" quotePrefix="0" xfId="2"/>
    <xf numFmtId="165" fontId="13" fillId="7" borderId="0" pivotButton="0" quotePrefix="0" xfId="1"/>
    <xf numFmtId="171" fontId="13" fillId="7" borderId="0" pivotButton="0" quotePrefix="0" xfId="1"/>
    <xf numFmtId="165" fontId="13" fillId="8" borderId="0" pivotButton="0" quotePrefix="0" xfId="1"/>
    <xf numFmtId="171" fontId="13" fillId="8" borderId="0" pivotButton="0" quotePrefix="0" xfId="1"/>
    <xf numFmtId="169" fontId="13" fillId="0" borderId="0" pivotButton="0" quotePrefix="0" xfId="2"/>
    <xf numFmtId="164" fontId="0" fillId="0" borderId="0" pivotButton="0" quotePrefix="0" xfId="1"/>
    <xf numFmtId="164" fontId="10" fillId="4" borderId="0" applyAlignment="1" pivotButton="0" quotePrefix="0" xfId="1">
      <alignment horizontal="left"/>
    </xf>
    <xf numFmtId="173" fontId="10" fillId="4" borderId="25" applyAlignment="1" pivotButton="0" quotePrefix="0" xfId="1">
      <alignment horizontal="left"/>
    </xf>
    <xf numFmtId="0" fontId="0" fillId="0" borderId="44" applyProtection="1" pivotButton="0" quotePrefix="0" xfId="0">
      <protection locked="0" hidden="0"/>
    </xf>
    <xf numFmtId="167" fontId="1" fillId="7" borderId="0" pivotButton="0" quotePrefix="0" xfId="1"/>
    <xf numFmtId="167" fontId="1" fillId="7" borderId="20" pivotButton="0" quotePrefix="0" xfId="1"/>
    <xf numFmtId="180" fontId="1" fillId="7" borderId="0" pivotButton="0" quotePrefix="0" xfId="1"/>
    <xf numFmtId="193" fontId="1" fillId="7" borderId="0" pivotButton="0" quotePrefix="0" xfId="0"/>
    <xf numFmtId="165" fontId="1" fillId="7" borderId="0" pivotButton="0" quotePrefix="0" xfId="0"/>
    <xf numFmtId="169" fontId="1" fillId="7" borderId="0" pivotButton="0" quotePrefix="0" xfId="2"/>
    <xf numFmtId="165" fontId="1" fillId="16" borderId="0" pivotButton="0" quotePrefix="0" xfId="9"/>
    <xf numFmtId="0" fontId="0" fillId="0" borderId="44" pivotButton="0" quotePrefix="0" xfId="0"/>
    <xf numFmtId="167" fontId="1" fillId="8" borderId="0" pivotButton="0" quotePrefix="0" xfId="1"/>
    <xf numFmtId="167" fontId="1" fillId="8" borderId="22" pivotButton="0" quotePrefix="0" xfId="1"/>
    <xf numFmtId="180" fontId="1" fillId="8" borderId="0" pivotButton="0" quotePrefix="0" xfId="1"/>
    <xf numFmtId="165" fontId="1" fillId="8" borderId="0" pivotButton="0" quotePrefix="0" xfId="0"/>
    <xf numFmtId="167" fontId="1" fillId="7" borderId="22" pivotButton="0" quotePrefix="0" xfId="1"/>
    <xf numFmtId="167" fontId="0" fillId="0" borderId="0" pivotButton="0" quotePrefix="0" xfId="1"/>
    <xf numFmtId="165" fontId="0" fillId="0" borderId="0" pivotButton="0" quotePrefix="0" xfId="0"/>
    <xf numFmtId="0" fontId="0" fillId="43" borderId="22" pivotButton="0" quotePrefix="0" xfId="0"/>
    <xf numFmtId="0" fontId="0" fillId="43" borderId="23" pivotButton="0" quotePrefix="0" xfId="0"/>
    <xf numFmtId="181" fontId="0" fillId="0" borderId="0" pivotButton="0" quotePrefix="0" xfId="0"/>
    <xf numFmtId="0" fontId="65" fillId="47" borderId="106" applyAlignment="1" pivotButton="0" quotePrefix="0" xfId="0">
      <alignment horizontal="center" vertical="center"/>
    </xf>
    <xf numFmtId="165" fontId="10" fillId="4" borderId="15" applyAlignment="1" pivotButton="0" quotePrefix="0" xfId="1">
      <alignment horizontal="left"/>
    </xf>
    <xf numFmtId="172" fontId="0" fillId="0" borderId="0" pivotButton="0" quotePrefix="0" xfId="0"/>
    <xf numFmtId="173" fontId="0" fillId="0" borderId="0" pivotButton="0" quotePrefix="0" xfId="1"/>
    <xf numFmtId="165" fontId="1" fillId="16" borderId="2" pivotButton="0" quotePrefix="0" xfId="9"/>
    <xf numFmtId="171" fontId="0" fillId="16" borderId="2" pivotButton="0" quotePrefix="0" xfId="9"/>
    <xf numFmtId="173" fontId="20" fillId="10" borderId="0" applyAlignment="1" pivotButton="0" quotePrefix="0" xfId="1">
      <alignment horizontal="left"/>
    </xf>
    <xf numFmtId="173" fontId="10" fillId="4" borderId="12" applyAlignment="1" pivotButton="0" quotePrefix="0" xfId="1">
      <alignment horizontal="left"/>
    </xf>
    <xf numFmtId="0" fontId="0" fillId="0" borderId="110" pivotButton="0" quotePrefix="0" xfId="0"/>
    <xf numFmtId="0" fontId="0" fillId="0" borderId="111" pivotButton="0" quotePrefix="0" xfId="0"/>
    <xf numFmtId="0" fontId="0" fillId="0" borderId="118" pivotButton="0" quotePrefix="0" xfId="0"/>
    <xf numFmtId="0" fontId="0" fillId="0" borderId="119" pivotButton="0" quotePrefix="0" xfId="0"/>
    <xf numFmtId="0" fontId="0" fillId="0" borderId="126" pivotButton="0" quotePrefix="0" xfId="0"/>
    <xf numFmtId="0" fontId="0" fillId="0" borderId="127" pivotButton="0" quotePrefix="0" xfId="0"/>
    <xf numFmtId="179" fontId="0" fillId="0" borderId="0" pivotButton="0" quotePrefix="0" xfId="1"/>
    <xf numFmtId="165" fontId="0" fillId="0" borderId="0" applyAlignment="1" pivotButton="0" quotePrefix="0" xfId="1">
      <alignment vertical="center"/>
    </xf>
    <xf numFmtId="165" fontId="0" fillId="0" borderId="0" pivotButton="0" quotePrefix="0" xfId="1"/>
    <xf numFmtId="173" fontId="0" fillId="0" borderId="0" applyAlignment="1" pivotButton="0" quotePrefix="0" xfId="1">
      <alignment horizontal="center" vertical="center" wrapText="1"/>
    </xf>
    <xf numFmtId="173" fontId="0" fillId="0" borderId="0" applyAlignment="1" pivotButton="0" quotePrefix="0" xfId="1">
      <alignment horizontal="center" vertical="center"/>
    </xf>
    <xf numFmtId="0" fontId="0" fillId="0" borderId="114" pivotButton="0" quotePrefix="0" xfId="0"/>
    <xf numFmtId="0" fontId="0" fillId="0" borderId="115" pivotButton="0" quotePrefix="0" xfId="0"/>
    <xf numFmtId="0" fontId="0" fillId="0" borderId="122" pivotButton="0" quotePrefix="0" xfId="0"/>
    <xf numFmtId="0" fontId="0" fillId="0" borderId="123" pivotButton="0" quotePrefix="0" xfId="0"/>
    <xf numFmtId="0" fontId="0" fillId="0" borderId="130" pivotButton="0" quotePrefix="0" xfId="0"/>
    <xf numFmtId="0" fontId="0" fillId="0" borderId="131" pivotButton="0" quotePrefix="0" xfId="0"/>
    <xf numFmtId="0" fontId="72" fillId="75" borderId="9" applyAlignment="1" pivotButton="0" quotePrefix="0" xfId="0">
      <alignment horizontal="center"/>
    </xf>
    <xf numFmtId="0" fontId="0" fillId="0" borderId="24" pivotButton="0" quotePrefix="0" xfId="0"/>
    <xf numFmtId="0" fontId="0" fillId="0" borderId="38" pivotButton="0" quotePrefix="0" xfId="0"/>
    <xf numFmtId="0" fontId="73" fillId="66" borderId="107" applyAlignment="1" pivotButton="0" quotePrefix="0" xfId="0">
      <alignment horizontal="center"/>
    </xf>
    <xf numFmtId="191" fontId="4" fillId="66" borderId="34" pivotButton="0" quotePrefix="0" xfId="0"/>
    <xf numFmtId="0" fontId="12" fillId="6" borderId="9" applyAlignment="1" pivotButton="0" quotePrefix="0" xfId="4">
      <alignment horizontal="center" vertical="center" readingOrder="1"/>
    </xf>
    <xf numFmtId="170" fontId="0" fillId="0" borderId="0" pivotButton="0" quotePrefix="0" xfId="0"/>
    <xf numFmtId="0" fontId="0" fillId="0" borderId="133" applyAlignment="1" pivotButton="0" quotePrefix="0" xfId="0">
      <alignment horizontal="left" vertical="center" wrapText="1"/>
    </xf>
    <xf numFmtId="0" fontId="0" fillId="0" borderId="133" applyAlignment="1" pivotButton="0" quotePrefix="0" xfId="0">
      <alignment horizontal="center" vertical="center"/>
    </xf>
    <xf numFmtId="182" fontId="0" fillId="0" borderId="0" pivotButton="0" quotePrefix="0" xfId="0"/>
    <xf numFmtId="169" fontId="0" fillId="0" borderId="0" applyAlignment="1" pivotButton="0" quotePrefix="0" xfId="0">
      <alignment horizontal="center"/>
    </xf>
    <xf numFmtId="167" fontId="0" fillId="0" borderId="0" applyAlignment="1" pivotButton="0" quotePrefix="0" xfId="1">
      <alignment horizontal="left"/>
    </xf>
    <xf numFmtId="169" fontId="0" fillId="0" borderId="0" applyAlignment="1" pivotButton="0" quotePrefix="0" xfId="2">
      <alignment horizontal="center"/>
    </xf>
    <xf numFmtId="0" fontId="0" fillId="0" borderId="132" applyAlignment="1" pivotButton="0" quotePrefix="0" xfId="0">
      <alignment horizontal="left" vertical="center"/>
    </xf>
    <xf numFmtId="0" fontId="0" fillId="0" borderId="132" applyAlignment="1" pivotButton="0" quotePrefix="0" xfId="0">
      <alignment horizontal="center" vertical="center"/>
    </xf>
    <xf numFmtId="0" fontId="0" fillId="0" borderId="132" applyAlignment="1" pivotButton="0" quotePrefix="0" xfId="0">
      <alignment horizontal="center" vertical="center" wrapText="1"/>
    </xf>
    <xf numFmtId="170" fontId="1" fillId="24" borderId="2" applyAlignment="1" pivotButton="0" quotePrefix="0" xfId="14">
      <alignment horizontal="left" vertical="center" readingOrder="1"/>
    </xf>
    <xf numFmtId="170" fontId="1" fillId="25" borderId="2" applyAlignment="1" pivotButton="0" quotePrefix="0" xfId="15">
      <alignment horizontal="left" vertical="center" readingOrder="1"/>
    </xf>
    <xf numFmtId="0" fontId="0" fillId="0" borderId="8" pivotButton="0" quotePrefix="0" xfId="0"/>
    <xf numFmtId="170" fontId="1" fillId="26" borderId="2" pivotButton="0" quotePrefix="0" xfId="16"/>
    <xf numFmtId="170" fontId="1" fillId="26" borderId="2" applyAlignment="1" pivotButton="0" quotePrefix="0" xfId="16">
      <alignment horizontal="left" vertical="center" readingOrder="1"/>
    </xf>
    <xf numFmtId="170" fontId="1" fillId="27" borderId="2" pivotButton="0" quotePrefix="0" xfId="17"/>
    <xf numFmtId="170" fontId="1" fillId="27" borderId="2" applyAlignment="1" pivotButton="0" quotePrefix="0" xfId="17">
      <alignment horizontal="left" vertical="center" readingOrder="1"/>
    </xf>
    <xf numFmtId="170" fontId="0" fillId="20" borderId="2" applyAlignment="1" pivotButton="0" quotePrefix="0" xfId="0">
      <alignment horizontal="center"/>
    </xf>
    <xf numFmtId="170" fontId="0" fillId="29" borderId="2" applyAlignment="1" pivotButton="0" quotePrefix="0" xfId="0">
      <alignment horizontal="center"/>
    </xf>
    <xf numFmtId="170" fontId="13" fillId="29" borderId="2" applyAlignment="1" pivotButton="0" quotePrefix="0" xfId="0">
      <alignment horizontal="center"/>
    </xf>
    <xf numFmtId="0" fontId="0" fillId="0" borderId="34" pivotButton="0" quotePrefix="0" xfId="0"/>
  </cellXfs>
  <cellStyles count="19">
    <cellStyle name="Normal" xfId="0" builtinId="0"/>
    <cellStyle name="Comma" xfId="1" builtinId="3"/>
    <cellStyle name="Percent" xfId="2" builtinId="5"/>
    <cellStyle name="Explanatory Text" xfId="3" builtinId="53"/>
    <cellStyle name="Normal 4" xfId="4"/>
    <cellStyle name="Normal 2 2" xfId="5"/>
    <cellStyle name="Accent6" xfId="6" builtinId="49"/>
    <cellStyle name="Good" xfId="7" builtinId="26"/>
    <cellStyle name="Bad" xfId="8" builtinId="27"/>
    <cellStyle name="60% - Accent1" xfId="9" builtinId="32"/>
    <cellStyle name="Comma 2" xfId="10"/>
    <cellStyle name="Normal 2 3" xfId="11"/>
    <cellStyle name="Comma 3" xfId="12"/>
    <cellStyle name="Currency 2" xfId="13"/>
    <cellStyle name="20% - Accent1" xfId="14" builtinId="30"/>
    <cellStyle name="40% - Accent1" xfId="15" builtinId="31"/>
    <cellStyle name="20% - Accent3" xfId="16" builtinId="38"/>
    <cellStyle name="40% - Accent3" xfId="17" builtinId="39"/>
    <cellStyle name="60% - Accent3" xfId="18" builtinId="40"/>
  </cellStyles>
  <dxfs count="112">
    <dxf>
      <font>
        <color rgb="FF9C0006"/>
      </font>
      <fill>
        <patternFill>
          <bgColor rgb="FFFFC7CE"/>
        </patternFill>
      </fill>
    </dxf>
    <dxf>
      <fill>
        <patternFill patternType="solid">
          <fgColor indexed="64"/>
          <bgColor rgb="FFD3D3D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C6EFCE"/>
        </patternFill>
      </fill>
    </dxf>
    <dxf>
      <font>
        <color rgb="FF9C0006"/>
      </font>
      <fill>
        <patternFill>
          <bgColor rgb="FFFFC7CE"/>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border outline="0">
        <top style="thin">
          <color indexed="64"/>
        </top>
      </border>
    </dxf>
    <dxf>
      <fill>
        <patternFill patternType="solid">
          <fgColor indexed="64"/>
          <bgColor rgb="FFE9EEF4"/>
        </patternFill>
      </fill>
    </dxf>
    <dxf>
      <border outline="0">
        <bottom style="thin">
          <color indexed="64"/>
        </bottom>
      </border>
    </dxf>
    <dxf>
      <font>
        <name val="Calibri"/>
        <family val="2"/>
        <b val="1"/>
        <strike val="0"/>
        <outline val="0"/>
        <shadow val="0"/>
        <condense val="0"/>
        <color rgb="FFFFFFFF"/>
        <extend val="0"/>
        <sz val="11"/>
        <vertAlign val="baseline"/>
      </font>
      <fill>
        <patternFill patternType="solid">
          <fgColor indexed="64"/>
          <bgColor rgb="FF2E75B6"/>
        </patternFill>
      </fill>
      <alignment horizontal="center" vertical="center" readingOrder="1"/>
      <border outline="0">
        <left style="thin">
          <color indexed="64"/>
        </left>
        <right style="thin">
          <color indexed="64"/>
        </right>
        <top/>
        <bottom/>
      </border>
    </dxf>
    <dxf>
      <numFmt numFmtId="167" formatCode="_([$€-2]\ * #,##0.00_);_([$€-2]\ * \(#,##0.00\);_([$€-2]\ * &quot;-&quot;??_);_(@_)"/>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theme="1"/>
        <extend val="0"/>
        <sz val="11"/>
        <vertAlign val="baseline"/>
        <scheme val="minor"/>
      </font>
      <numFmt numFmtId="166" formatCode="_(* #,##0_);_(* \(#,##0\);_(* &quot;-&quot;??_);_(@_)"/>
    </dxf>
    <dxf>
      <font>
        <name val="Aptos Narrow"/>
        <family val="2"/>
        <strike val="0"/>
        <outline val="0"/>
        <shadow val="0"/>
        <condense val="0"/>
        <color theme="1"/>
        <extend val="0"/>
        <sz val="11"/>
        <vertAlign val="baseline"/>
        <scheme val="minor"/>
      </font>
      <numFmt numFmtId="166" formatCode="_(* #,##0_);_(* \(#,##0\);_(* &quot;-&quot;??_);_(@_)"/>
    </dxf>
    <dxf>
      <numFmt numFmtId="174" formatCode="0.0000"/>
      <border>
        <left style="medium">
          <color indexed="64"/>
        </left>
        <right style="medium">
          <color indexed="64"/>
        </right>
        <vertical/>
      </border>
    </dxf>
    <dxf>
      <numFmt numFmtId="174" formatCode="0.0000"/>
    </dxf>
    <dxf>
      <font>
        <name val="Aptos Narrow"/>
        <family val="2"/>
        <strike val="0"/>
        <outline val="0"/>
        <shadow val="0"/>
        <condense val="0"/>
        <color theme="1"/>
        <extend val="0"/>
        <sz val="11"/>
        <vertAlign val="baseline"/>
        <scheme val="minor"/>
      </font>
      <numFmt numFmtId="14" formatCode="0.00%"/>
    </dxf>
    <dxf>
      <numFmt numFmtId="176" formatCode="0.000"/>
    </dxf>
    <dxf>
      <numFmt numFmtId="0" formatCode="General"/>
    </dxf>
    <dxf>
      <numFmt numFmtId="35" formatCode="_(* #,##0.00_);_(* \(#,##0.00\);_(* &quot;-&quot;??_);_(@_)"/>
    </dxf>
    <dxf>
      <numFmt numFmtId="35" formatCode="_(* #,##0.00_);_(* \(#,##0.00\);_(* &quot;-&quot;??_);_(@_)"/>
      <alignment horizontal="general" vertical="center"/>
    </dxf>
    <dxf>
      <numFmt numFmtId="170" formatCode="#,##0&quot; mm&quot;"/>
    </dxf>
    <dxf>
      <font>
        <name val="Aptos Narrow"/>
        <family val="2"/>
        <strike val="0"/>
        <outline val="0"/>
        <shadow val="0"/>
        <condense val="0"/>
        <color theme="1"/>
        <extend val="0"/>
        <sz val="11"/>
        <vertAlign val="baseline"/>
        <scheme val="minor"/>
      </font>
      <numFmt numFmtId="166" formatCode="_(* #,##0_);_(* \(#,##0\);_(* &quot;-&quot;??_);_(@_)"/>
    </dxf>
    <dxf>
      <border outline="0">
        <left style="thin">
          <color indexed="64"/>
        </left>
        <right style="thin">
          <color indexed="64"/>
        </right>
        <top style="thin">
          <color indexed="64"/>
        </top>
        <bottom style="thin">
          <color indexed="64"/>
        </bottom>
      </border>
    </dxf>
    <dxf>
      <font>
        <name val="Aptos Narrow"/>
        <family val="2"/>
        <b val="1"/>
        <strike val="0"/>
        <outline val="0"/>
        <shadow val="0"/>
        <condense val="0"/>
        <color rgb="FFFFFFFF"/>
        <extend val="0"/>
        <sz val="11"/>
        <vertAlign val="baseline"/>
        <scheme val="minor"/>
      </font>
      <fill>
        <patternFill patternType="solid">
          <fgColor indexed="64"/>
          <bgColor rgb="FF1F4E79"/>
        </patternFill>
      </fill>
      <alignment horizontal="left" vertical="bottom"/>
      <border outline="0">
        <left style="thin">
          <color theme="4"/>
        </left>
        <right style="thin">
          <color theme="4"/>
        </right>
        <top/>
        <bottom/>
      </border>
    </dxf>
    <dxf>
      <font>
        <name val="Aptos Narrow"/>
        <family val="2"/>
        <strike val="0"/>
        <outline val="0"/>
        <shadow val="0"/>
        <condense val="0"/>
        <color auto="1"/>
        <extend val="0"/>
        <sz val="11"/>
        <vertAlign val="baseline"/>
        <scheme val="minor"/>
      </font>
      <fill>
        <patternFill>
          <fgColor indexed="64"/>
          <bgColor auto="1"/>
        </patternFill>
      </fill>
    </dxf>
    <dxf>
      <font>
        <name val="Aptos Narrow"/>
        <family val="2"/>
        <strike val="0"/>
        <outline val="0"/>
        <shadow val="0"/>
        <condense val="0"/>
        <color theme="1"/>
        <extend val="0"/>
        <sz val="11"/>
        <vertAlign val="baseline"/>
        <scheme val="minor"/>
      </font>
      <fill>
        <patternFill>
          <fgColor indexed="64"/>
          <bgColor auto="1"/>
        </patternFill>
      </fill>
    </dxf>
    <dxf>
      <font>
        <name val="Aptos Narrow"/>
        <family val="2"/>
        <strike val="0"/>
        <outline val="0"/>
        <shadow val="0"/>
        <condense val="0"/>
        <color theme="1"/>
        <extend val="0"/>
        <sz val="11"/>
        <vertAlign val="baseline"/>
        <scheme val="minor"/>
      </font>
      <numFmt numFmtId="164" formatCode="0.0%"/>
      <fill>
        <patternFill>
          <fgColor indexed="64"/>
          <bgColor auto="1"/>
        </patternFill>
      </fill>
    </dxf>
    <dxf>
      <font>
        <name val="Aptos Narrow"/>
        <family val="2"/>
        <strike val="0"/>
        <outline val="0"/>
        <shadow val="0"/>
        <condense val="0"/>
        <color auto="1"/>
        <extend val="0"/>
        <sz val="11"/>
        <vertAlign val="baseline"/>
        <scheme val="minor"/>
      </font>
      <numFmt numFmtId="166" formatCode="_(* #,##0_);_(* \(#,##0\);_(* &quot;-&quot;??_);_(@_)"/>
      <fill>
        <patternFill>
          <fgColor indexed="64"/>
          <bgColor auto="1"/>
        </patternFill>
      </fill>
      <alignment horizontal="center"/>
      <border outline="0">
        <left style="thin">
          <color rgb="FFB4C6E7"/>
        </left>
        <right style="thin">
          <color rgb="FFB4C6E7"/>
        </right>
        <top/>
        <bottom/>
      </border>
    </dxf>
    <dxf>
      <font>
        <name val="Aptos Narrow"/>
        <family val="2"/>
        <strike val="0"/>
        <outline val="0"/>
        <shadow val="0"/>
        <condense val="0"/>
        <color auto="1"/>
        <extend val="0"/>
        <sz val="11"/>
        <vertAlign val="baseline"/>
        <scheme val="minor"/>
      </font>
      <numFmt numFmtId="166" formatCode="_(* #,##0_);_(* \(#,##0\);_(* &quot;-&quot;??_);_(@_)"/>
      <fill>
        <patternFill>
          <fgColor indexed="64"/>
          <bgColor auto="1"/>
        </patternFill>
      </fill>
      <alignment horizontal="center"/>
      <border outline="0">
        <left style="thin">
          <color rgb="FFB4C6E7"/>
        </left>
        <right style="thin">
          <color rgb="FFB4C6E7"/>
        </right>
        <top/>
        <bottom/>
      </border>
    </dxf>
    <dxf>
      <font>
        <name val="Aptos Narrow"/>
        <family val="2"/>
        <strike val="0"/>
        <outline val="0"/>
        <shadow val="0"/>
        <condense val="0"/>
        <color auto="1"/>
        <extend val="0"/>
        <sz val="11"/>
        <vertAlign val="baseline"/>
        <scheme val="minor"/>
      </font>
      <fill>
        <patternFill>
          <fgColor indexed="64"/>
          <bgColor auto="1"/>
        </patternFill>
      </fill>
      <alignment horizontal="center"/>
      <border outline="0">
        <left style="thin">
          <color rgb="FFB4C6E7"/>
        </left>
        <right style="thin">
          <color rgb="FFB4C6E7"/>
        </right>
        <top/>
        <bottom/>
      </border>
    </dxf>
    <dxf>
      <font>
        <name val="Aptos Narrow"/>
        <family val="2"/>
        <strike val="0"/>
        <outline val="0"/>
        <shadow val="0"/>
        <condense val="0"/>
        <color auto="1"/>
        <extend val="0"/>
        <sz val="11"/>
        <vertAlign val="baseline"/>
        <scheme val="minor"/>
      </font>
      <fill>
        <patternFill>
          <fgColor indexed="64"/>
          <bgColor auto="1"/>
        </patternFill>
      </fill>
      <alignment horizontal="center"/>
      <border outline="0">
        <left style="thin">
          <color rgb="FFB4C6E7"/>
        </left>
        <right style="thin">
          <color rgb="FFB4C6E7"/>
        </right>
        <top/>
        <bottom/>
      </border>
    </dxf>
    <dxf>
      <font>
        <name val="Aptos Narrow"/>
        <family val="2"/>
        <strike val="0"/>
        <outline val="0"/>
        <shadow val="0"/>
        <condense val="0"/>
        <color auto="1"/>
        <extend val="0"/>
        <sz val="11"/>
        <vertAlign val="baseline"/>
        <scheme val="minor"/>
      </font>
      <fill>
        <patternFill>
          <fgColor indexed="64"/>
          <bgColor auto="1"/>
        </patternFill>
      </fill>
      <alignment horizontal="center"/>
      <border outline="0">
        <left style="thin">
          <color rgb="FFB4C6E7"/>
        </left>
        <right style="thin">
          <color rgb="FFB4C6E7"/>
        </right>
        <top/>
        <bottom/>
      </border>
    </dxf>
    <dxf>
      <font>
        <name val="Aptos Narrow"/>
        <family val="2"/>
        <strike val="0"/>
        <outline val="0"/>
        <shadow val="0"/>
        <color auto="1"/>
        <sz val="11"/>
        <vertAlign val="baseline"/>
        <scheme val="minor"/>
      </font>
      <fill>
        <patternFill>
          <fgColor indexed="64"/>
          <bgColor auto="1"/>
        </patternFill>
      </fill>
      <alignment horizontal="center"/>
    </dxf>
    <dxf>
      <font>
        <name val="Aptos Narrow"/>
        <family val="2"/>
        <strike val="0"/>
        <outline val="0"/>
        <shadow val="0"/>
        <color auto="1"/>
        <sz val="11"/>
        <vertAlign val="baseline"/>
        <scheme val="minor"/>
      </font>
      <fill>
        <patternFill>
          <fgColor indexed="64"/>
          <bgColor auto="1"/>
        </patternFill>
      </fill>
      <alignment horizontal="center"/>
    </dxf>
    <dxf>
      <border outline="0">
        <top style="thin">
          <color auto="1"/>
        </top>
      </border>
    </dxf>
    <dxf>
      <fill>
        <patternFill>
          <fgColor indexed="64"/>
          <bgColor auto="1"/>
        </patternFill>
      </fill>
    </dxf>
    <dxf>
      <border outline="0">
        <bottom style="double">
          <color indexed="64"/>
        </bottom>
      </border>
    </dxf>
    <dxf>
      <font>
        <name val="Aptos Narrow"/>
        <family val="2"/>
        <b val="1"/>
        <strike val="0"/>
        <outline val="0"/>
        <shadow val="0"/>
        <condense val="0"/>
        <color rgb="FFFFFFFF"/>
        <extend val="0"/>
        <sz val="11"/>
        <vertAlign val="baseline"/>
        <scheme val="minor"/>
      </font>
      <fill>
        <patternFill>
          <fgColor indexed="64"/>
          <bgColor auto="1"/>
        </patternFill>
      </fill>
      <alignment horizontal="general" vertical="center"/>
      <border outline="0">
        <left style="thin">
          <color rgb="FFB4C6E7"/>
        </left>
        <right style="thin">
          <color rgb="FFB4C6E7"/>
        </right>
        <top/>
        <bottom/>
      </border>
    </dxf>
    <dxf>
      <font>
        <name val="Aptos Narrow"/>
        <family val="2"/>
        <strike val="0"/>
        <outline val="0"/>
        <shadow val="0"/>
        <condense val="0"/>
        <color auto="1"/>
        <extend val="0"/>
        <sz val="11"/>
        <vertAlign val="baseline"/>
        <scheme val="minor"/>
      </font>
      <numFmt numFmtId="35" formatCode="_(* #,##0.00_);_(* \(#,##0.00\);_(* &quot;-&quot;??_);_(@_)"/>
      <fill>
        <patternFill patternType="solid">
          <fgColor indexed="64"/>
          <bgColor rgb="FFD6E3F8"/>
        </patternFill>
      </fill>
    </dxf>
    <dxf>
      <font>
        <name val="Aptos Narrow"/>
        <family val="2"/>
        <strike val="0"/>
        <outline val="0"/>
        <shadow val="0"/>
        <condense val="0"/>
        <color auto="1"/>
        <extend val="0"/>
        <sz val="11"/>
        <vertAlign val="baseline"/>
        <scheme val="minor"/>
      </font>
      <numFmt numFmtId="4" formatCode="#,##0.00"/>
      <fill>
        <patternFill patternType="solid">
          <fgColor indexed="64"/>
          <bgColor rgb="FFD6E3F8"/>
        </patternFill>
      </fill>
    </dxf>
    <dxf>
      <font>
        <name val="Aptos Narrow"/>
        <family val="2"/>
        <strike val="0"/>
        <outline val="0"/>
        <shadow val="0"/>
        <condense val="0"/>
        <color auto="1"/>
        <extend val="0"/>
        <sz val="11"/>
        <vertAlign val="baseline"/>
        <scheme val="minor"/>
      </font>
      <numFmt numFmtId="0" formatCode="General"/>
      <fill>
        <patternFill patternType="solid">
          <fgColor indexed="64"/>
          <bgColor rgb="FFD6E3F8"/>
        </patternFill>
      </fill>
    </dxf>
    <dxf>
      <font>
        <name val="Aptos Narrow"/>
        <family val="2"/>
        <strike val="0"/>
        <outline val="0"/>
        <shadow val="0"/>
        <condense val="0"/>
        <color auto="1"/>
        <extend val="0"/>
        <sz val="11"/>
        <vertAlign val="baseline"/>
        <scheme val="minor"/>
      </font>
      <fill>
        <patternFill patternType="solid">
          <fgColor indexed="64"/>
          <bgColor rgb="FFD6E3F8"/>
        </patternFill>
      </fill>
    </dxf>
    <dxf>
      <border outline="0">
        <bottom style="double">
          <color indexed="64"/>
        </bottom>
      </border>
    </dxf>
    <dxf>
      <font>
        <name val="Aptos Narrow"/>
        <family val="2"/>
        <b val="1"/>
        <strike val="0"/>
        <outline val="0"/>
        <shadow val="0"/>
        <condense val="0"/>
        <color rgb="FFFFFFFF"/>
        <extend val="0"/>
        <sz val="11"/>
        <vertAlign val="baseline"/>
        <scheme val="minor"/>
      </font>
      <fill>
        <patternFill patternType="solid">
          <fgColor indexed="64"/>
          <bgColor rgb="FF92D050"/>
        </patternFill>
      </fill>
      <alignment horizontal="general" vertical="center"/>
    </dxf>
    <dxf>
      <font>
        <name val="Aptos Narrow"/>
        <family val="2"/>
        <strike val="0"/>
        <outline val="0"/>
        <shadow val="0"/>
        <condense val="0"/>
        <color theme="1"/>
        <extend val="0"/>
        <sz val="11"/>
        <vertAlign val="baseline"/>
        <scheme val="minor"/>
      </font>
      <fill>
        <patternFill patternType="solid">
          <fgColor indexed="64"/>
          <bgColor rgb="FFD6DCE5"/>
        </patternFill>
      </fill>
    </dxf>
    <dxf>
      <font>
        <name val="Aptos Narrow"/>
        <family val="2"/>
        <strike val="0"/>
        <outline val="0"/>
        <shadow val="0"/>
        <condense val="0"/>
        <color theme="1"/>
        <extend val="0"/>
        <sz val="11"/>
        <vertAlign val="baseline"/>
        <scheme val="minor"/>
      </font>
      <fill>
        <patternFill patternType="solid">
          <fgColor indexed="64"/>
          <bgColor rgb="FFD6DCE5"/>
        </patternFill>
      </fill>
    </dxf>
    <dxf>
      <font>
        <name val="Aptos Narrow"/>
        <family val="2"/>
        <strike val="0"/>
        <outline val="0"/>
        <shadow val="0"/>
        <condense val="0"/>
        <color theme="1"/>
        <extend val="0"/>
        <sz val="11"/>
        <vertAlign val="baseline"/>
        <scheme val="minor"/>
      </font>
      <fill>
        <patternFill patternType="solid">
          <fgColor indexed="64"/>
          <bgColor rgb="FFD6DCE5"/>
        </patternFill>
      </fill>
    </dxf>
    <dxf>
      <fill>
        <patternFill patternType="solid">
          <fgColor indexed="64"/>
          <bgColor rgb="FFD6DCE5"/>
        </patternFill>
      </fill>
    </dxf>
    <dxf>
      <font>
        <name val="Aptos Narrow"/>
        <family val="2"/>
        <strike val="0"/>
        <outline val="0"/>
        <shadow val="0"/>
        <condense val="0"/>
        <color theme="1"/>
        <extend val="0"/>
        <sz val="11"/>
        <vertAlign val="baseline"/>
        <scheme val="minor"/>
      </font>
      <fill>
        <patternFill patternType="solid">
          <fgColor indexed="64"/>
          <bgColor rgb="FFD6DCE5"/>
        </patternFill>
      </fill>
    </dxf>
    <dxf>
      <border outline="0">
        <bottom style="double">
          <color indexed="64"/>
        </bottom>
      </border>
    </dxf>
    <dxf>
      <font>
        <name val="Aptos Narrow"/>
        <family val="2"/>
        <b val="1"/>
        <strike val="0"/>
        <outline val="0"/>
        <shadow val="0"/>
        <condense val="0"/>
        <color rgb="FFFFFFFF"/>
        <extend val="0"/>
        <sz val="11"/>
        <vertAlign val="baseline"/>
        <scheme val="minor"/>
      </font>
      <fill>
        <patternFill patternType="solid">
          <fgColor indexed="64"/>
          <bgColor rgb="FF2E75B6"/>
        </patternFill>
      </fill>
      <alignment horizontal="general" vertical="center"/>
    </dxf>
    <dxf>
      <numFmt numFmtId="171" formatCode="_(* #,##0.000_);_(* \(#,##0.000\);_(* &quot;-&quot;??_);_(@_)"/>
    </dxf>
    <dxf>
      <font>
        <name val="Aptos Narrow"/>
        <family val="2"/>
        <strike val="0"/>
        <outline val="0"/>
        <shadow val="0"/>
        <condense val="0"/>
        <color theme="1"/>
        <extend val="0"/>
        <sz val="11"/>
        <vertAlign val="baseline"/>
        <scheme val="minor"/>
      </font>
      <numFmt numFmtId="167" formatCode="_([$€-2]\ * #,##0.00_);_([$€-2]\ * \(#,##0.00\);_([$€-2]\ * &quot;-&quot;??_);_(@_)"/>
      <fill>
        <patternFill>
          <fgColor indexed="64"/>
          <bgColor indexed="65"/>
        </patternFill>
      </fill>
    </dxf>
    <dxf>
      <font>
        <name val="Aptos Narrow"/>
        <family val="2"/>
        <strike val="0"/>
        <outline val="0"/>
        <shadow val="0"/>
        <color theme="1"/>
        <sz val="11"/>
        <vertAlign val="baseline"/>
        <scheme val="minor"/>
      </font>
      <numFmt numFmtId="167" formatCode="_([$€-2]\ * #,##0.00_);_([$€-2]\ * \(#,##0.00\);_([$€-2]\ * &quot;-&quot;??_);_(@_)"/>
      <fill>
        <patternFill>
          <fgColor indexed="64"/>
          <bgColor indexed="65"/>
        </patternFill>
      </fill>
    </dxf>
    <dxf>
      <font>
        <name val="Aptos Narrow"/>
        <family val="2"/>
        <strike val="0"/>
        <outline val="0"/>
        <shadow val="0"/>
        <condense val="0"/>
        <color theme="1"/>
        <extend val="0"/>
        <sz val="11"/>
        <vertAlign val="baseline"/>
        <scheme val="minor"/>
      </font>
      <numFmt numFmtId="35" formatCode="_(* #,##0.00_);_(* \(#,##0.00\);_(* &quot;-&quot;??_);_(@_)"/>
      <fill>
        <patternFill>
          <fgColor indexed="64"/>
          <bgColor indexed="65"/>
        </patternFill>
      </fill>
    </dxf>
    <dxf>
      <font>
        <name val="Aptos Narrow"/>
        <family val="2"/>
        <strike val="0"/>
        <outline val="0"/>
        <shadow val="0"/>
        <color theme="1"/>
        <sz val="11"/>
        <vertAlign val="baseline"/>
        <scheme val="minor"/>
      </font>
      <numFmt numFmtId="35" formatCode="_(* #,##0.00_);_(* \(#,##0.00\);_(* &quot;-&quot;??_);_(@_)"/>
      <fill>
        <patternFill>
          <fgColor indexed="64"/>
          <bgColor indexed="65"/>
        </patternFill>
      </fill>
    </dxf>
    <dxf>
      <font>
        <name val="Aptos Narrow"/>
        <family val="2"/>
        <strike val="0"/>
        <outline val="0"/>
        <shadow val="0"/>
        <condense val="0"/>
        <color theme="1"/>
        <extend val="0"/>
        <sz val="11"/>
        <vertAlign val="baseline"/>
        <scheme val="minor"/>
      </font>
      <numFmt numFmtId="167" formatCode="_([$€-2]\ * #,##0.00_);_([$€-2]\ * \(#,##0.00\);_([$€-2]\ * &quot;-&quot;??_);_(@_)"/>
      <fill>
        <patternFill patternType="solid">
          <fgColor indexed="64"/>
          <bgColor rgb="FFD6DCE5"/>
        </patternFill>
      </fill>
    </dxf>
    <dxf>
      <font>
        <name val="Aptos Narrow"/>
        <family val="2"/>
        <strike val="0"/>
        <outline val="0"/>
        <shadow val="0"/>
        <color theme="1"/>
        <sz val="11"/>
        <vertAlign val="baseline"/>
        <scheme val="minor"/>
      </font>
      <numFmt numFmtId="167" formatCode="_([$€-2]\ * #,##0.00_);_([$€-2]\ * \(#,##0.00\);_([$€-2]\ * &quot;-&quot;??_);_(@_)"/>
      <fill>
        <patternFill patternType="solid">
          <fgColor indexed="64"/>
          <bgColor rgb="FFD6DCE5"/>
        </patternFill>
      </fill>
    </dxf>
    <dxf>
      <font>
        <name val="Aptos Narrow"/>
        <family val="2"/>
        <strike val="0"/>
        <outline val="0"/>
        <shadow val="0"/>
        <condense val="0"/>
        <color theme="1"/>
        <extend val="0"/>
        <sz val="11"/>
        <vertAlign val="baseline"/>
        <scheme val="minor"/>
      </font>
      <numFmt numFmtId="0" formatCode="General"/>
      <fill>
        <patternFill patternType="solid">
          <fgColor indexed="64"/>
          <bgColor rgb="FFD6DCE5"/>
        </patternFill>
      </fill>
    </dxf>
    <dxf>
      <font>
        <name val="Aptos Narrow"/>
        <family val="2"/>
        <strike val="0"/>
        <outline val="0"/>
        <shadow val="0"/>
        <color theme="1"/>
        <sz val="11"/>
        <vertAlign val="baseline"/>
        <scheme val="minor"/>
      </font>
      <numFmt numFmtId="0" formatCode="General"/>
      <fill>
        <patternFill patternType="solid">
          <fgColor indexed="64"/>
          <bgColor rgb="FFD6DCE5"/>
        </patternFill>
      </fill>
    </dxf>
    <dxf>
      <numFmt numFmtId="167" formatCode="_([$€-2]\ * #,##0.00_);_([$€-2]\ * \(#,##0.00\);_([$€-2]\ * &quot;-&quot;??_);_(@_)"/>
      <fill>
        <patternFill patternType="solid">
          <fgColor indexed="64"/>
          <bgColor rgb="FFD6DCE5"/>
        </patternFill>
      </fill>
    </dxf>
    <dxf>
      <numFmt numFmtId="167" formatCode="_([$€-2]\ * #,##0.00_);_([$€-2]\ * \(#,##0.00\);_([$€-2]\ * &quot;-&quot;??_);_(@_)"/>
      <fill>
        <patternFill patternType="solid">
          <fgColor indexed="64"/>
          <bgColor rgb="FFD6DCE5"/>
        </patternFill>
      </fill>
    </dxf>
    <dxf>
      <font>
        <name val="Aptos Narrow"/>
        <family val="2"/>
        <strike val="0"/>
        <outline val="0"/>
        <shadow val="0"/>
        <condense val="0"/>
        <color theme="1"/>
        <extend val="0"/>
        <sz val="11"/>
        <vertAlign val="baseline"/>
        <scheme val="minor"/>
      </font>
      <fill>
        <patternFill patternType="solid">
          <fgColor indexed="64"/>
          <bgColor rgb="FFE9EEF4"/>
        </patternFill>
      </fill>
    </dxf>
    <dxf>
      <font>
        <name val="Aptos Narrow"/>
        <family val="2"/>
        <strike val="0"/>
        <outline val="0"/>
        <shadow val="0"/>
        <color theme="1"/>
        <sz val="11"/>
        <vertAlign val="baseline"/>
        <scheme val="minor"/>
      </font>
      <fill>
        <patternFill patternType="solid">
          <fgColor indexed="64"/>
          <bgColor rgb="FFE9EEF4"/>
        </patternFill>
      </fill>
    </dxf>
    <dxf>
      <font>
        <name val="Aptos Narrow"/>
        <family val="2"/>
        <strike val="0"/>
        <outline val="0"/>
        <shadow val="0"/>
        <condense val="0"/>
        <color theme="1"/>
        <extend val="0"/>
        <sz val="11"/>
        <vertAlign val="baseline"/>
        <scheme val="minor"/>
      </font>
      <fill>
        <patternFill patternType="solid">
          <fgColor indexed="64"/>
          <bgColor rgb="FFE9EEF4"/>
        </patternFill>
      </fill>
    </dxf>
    <dxf>
      <font>
        <name val="Aptos Narrow"/>
        <family val="2"/>
        <strike val="0"/>
        <outline val="0"/>
        <shadow val="0"/>
        <condense val="0"/>
        <color theme="1"/>
        <extend val="0"/>
        <sz val="11"/>
        <vertAlign val="baseline"/>
        <scheme val="minor"/>
      </font>
      <numFmt numFmtId="13" formatCode="0%"/>
      <fill>
        <patternFill patternType="solid">
          <fgColor indexed="64"/>
          <bgColor rgb="FFE9EEF4"/>
        </patternFill>
      </fill>
    </dxf>
    <dxf>
      <font>
        <name val="Aptos Narrow"/>
        <family val="2"/>
        <strike val="0"/>
        <outline val="0"/>
        <shadow val="0"/>
        <condense val="0"/>
        <color theme="1"/>
        <extend val="0"/>
        <sz val="11"/>
        <vertAlign val="baseline"/>
        <scheme val="minor"/>
      </font>
      <numFmt numFmtId="0" formatCode="General"/>
      <fill>
        <patternFill patternType="solid">
          <fgColor indexed="64"/>
          <bgColor rgb="FFE9EEF4"/>
        </patternFill>
      </fill>
    </dxf>
    <dxf>
      <font>
        <name val="Aptos Narrow"/>
        <family val="2"/>
        <strike val="0"/>
        <outline val="0"/>
        <shadow val="0"/>
        <condense val="0"/>
        <color theme="1"/>
        <extend val="0"/>
        <sz val="11"/>
        <vertAlign val="baseline"/>
        <scheme val="minor"/>
      </font>
      <numFmt numFmtId="0" formatCode="General"/>
      <fill>
        <patternFill patternType="solid">
          <fgColor indexed="64"/>
          <bgColor rgb="FFE9EEF4"/>
        </patternFill>
      </fill>
    </dxf>
    <dxf>
      <font>
        <name val="Aptos Narrow"/>
        <family val="2"/>
        <strike val="0"/>
        <outline val="0"/>
        <shadow val="0"/>
        <condense val="0"/>
        <color theme="1"/>
        <extend val="0"/>
        <sz val="11"/>
        <vertAlign val="baseline"/>
        <scheme val="minor"/>
      </font>
      <numFmt numFmtId="0" formatCode="General"/>
      <fill>
        <patternFill patternType="solid">
          <fgColor indexed="64"/>
          <bgColor rgb="FFE9EEF4"/>
        </patternFill>
      </fill>
    </dxf>
    <dxf>
      <font>
        <name val="Aptos Narrow"/>
        <family val="2"/>
        <strike val="0"/>
        <outline val="0"/>
        <shadow val="0"/>
        <condense val="0"/>
        <color theme="1"/>
        <extend val="0"/>
        <sz val="11"/>
        <vertAlign val="baseline"/>
        <scheme val="minor"/>
      </font>
      <numFmt numFmtId="0" formatCode="General"/>
      <fill>
        <patternFill patternType="solid">
          <fgColor indexed="64"/>
          <bgColor rgb="FFE9EEF4"/>
        </patternFill>
      </fill>
      <alignment horizontal="center" vertical="center"/>
    </dxf>
    <dxf>
      <font>
        <name val="Aptos Narrow"/>
        <family val="2"/>
        <strike val="0"/>
        <outline val="0"/>
        <shadow val="0"/>
        <condense val="0"/>
        <color theme="1"/>
        <extend val="0"/>
        <sz val="11"/>
        <vertAlign val="baseline"/>
        <scheme val="minor"/>
      </font>
      <fill>
        <patternFill patternType="solid">
          <fgColor indexed="64"/>
          <bgColor rgb="FFE9EEF4"/>
        </patternFill>
      </fill>
    </dxf>
    <dxf>
      <font>
        <name val="Aptos Narrow"/>
        <family val="2"/>
        <strike val="0"/>
        <outline val="0"/>
        <shadow val="0"/>
        <color theme="1"/>
        <sz val="11"/>
        <vertAlign val="baseline"/>
        <scheme val="minor"/>
      </font>
      <fill>
        <patternFill patternType="solid">
          <fgColor indexed="64"/>
          <bgColor rgb="FFE9EEF4"/>
        </patternFill>
      </fill>
    </dxf>
    <dxf>
      <font>
        <name val="Aptos Narrow"/>
        <family val="2"/>
        <strike val="0"/>
        <outline val="0"/>
        <shadow val="0"/>
        <condense val="0"/>
        <color theme="1"/>
        <extend val="0"/>
        <sz val="11"/>
        <vertAlign val="baseline"/>
        <scheme val="minor"/>
      </font>
      <numFmt numFmtId="167" formatCode="_([$€-2]\ * #,##0.00_);_([$€-2]\ * \(#,##0.00\);_([$€-2]\ * &quot;-&quot;??_);_(@_)"/>
      <fill>
        <patternFill patternType="solid">
          <fgColor indexed="64"/>
          <bgColor rgb="FFE9EEF4"/>
        </patternFill>
      </fill>
    </dxf>
    <dxf>
      <font>
        <name val="Aptos Narrow"/>
        <family val="2"/>
        <strike val="0"/>
        <outline val="0"/>
        <shadow val="0"/>
        <condense val="0"/>
        <color theme="1"/>
        <extend val="0"/>
        <sz val="11"/>
        <vertAlign val="baseline"/>
        <scheme val="minor"/>
      </font>
      <numFmt numFmtId="167" formatCode="_([$€-2]\ * #,##0.00_);_([$€-2]\ * \(#,##0.00\);_([$€-2]\ * &quot;-&quot;??_);_(@_)"/>
      <fill>
        <patternFill patternType="solid">
          <fgColor indexed="64"/>
          <bgColor rgb="FFE9EEF4"/>
        </patternFill>
      </fill>
    </dxf>
    <dxf>
      <font>
        <name val="Aptos Narrow"/>
        <family val="2"/>
        <strike val="0"/>
        <outline val="0"/>
        <shadow val="0"/>
        <condense val="0"/>
        <color theme="1"/>
        <extend val="0"/>
        <sz val="11"/>
        <vertAlign val="baseline"/>
        <scheme val="minor"/>
      </font>
      <numFmt numFmtId="167" formatCode="_([$€-2]\ * #,##0.00_);_([$€-2]\ * \(#,##0.00\);_([$€-2]\ * &quot;-&quot;??_);_(@_)"/>
      <fill>
        <patternFill patternType="solid">
          <fgColor indexed="64"/>
          <bgColor rgb="FFE9EEF4"/>
        </patternFill>
      </fill>
    </dxf>
    <dxf>
      <font>
        <name val="Aptos Narrow"/>
        <family val="2"/>
        <strike val="0"/>
        <outline val="0"/>
        <shadow val="0"/>
        <color theme="1"/>
        <sz val="11"/>
        <vertAlign val="baseline"/>
        <scheme val="minor"/>
      </font>
      <numFmt numFmtId="167" formatCode="_([$€-2]\ * #,##0.00_);_([$€-2]\ * \(#,##0.00\);_([$€-2]\ * &quot;-&quot;??_);_(@_)"/>
      <fill>
        <patternFill patternType="solid">
          <fgColor indexed="64"/>
          <bgColor rgb="FFE9EEF4"/>
        </patternFill>
      </fill>
    </dxf>
    <dxf>
      <font>
        <name val="Aptos Narrow"/>
        <family val="2"/>
        <strike val="0"/>
        <outline val="0"/>
        <shadow val="0"/>
        <condense val="0"/>
        <color theme="1"/>
        <extend val="0"/>
        <sz val="11"/>
        <vertAlign val="baseline"/>
        <scheme val="minor"/>
      </font>
      <numFmt numFmtId="13" formatCode="0%"/>
    </dxf>
    <dxf>
      <font>
        <name val="Aptos Narrow"/>
        <family val="2"/>
        <strike val="0"/>
        <outline val="0"/>
        <shadow val="0"/>
        <condense val="0"/>
        <color theme="1"/>
        <extend val="0"/>
        <sz val="11"/>
        <vertAlign val="baseline"/>
        <scheme val="minor"/>
      </font>
      <numFmt numFmtId="13" formatCode="0%"/>
    </dxf>
    <dxf>
      <font>
        <name val="Aptos Narrow"/>
        <family val="2"/>
        <strike val="0"/>
        <outline val="0"/>
        <shadow val="0"/>
        <condense val="0"/>
        <color theme="1"/>
        <extend val="0"/>
        <sz val="11"/>
        <vertAlign val="baseline"/>
        <scheme val="minor"/>
      </font>
      <numFmt numFmtId="35" formatCode="_(* #,##0.00_);_(* \(#,##0.00\);_(* &quot;-&quot;??_);_(@_)"/>
      <fill>
        <patternFill>
          <fgColor indexed="64"/>
          <bgColor indexed="65"/>
        </patternFill>
      </fill>
    </dxf>
    <dxf>
      <font>
        <name val="Aptos Narrow"/>
        <family val="2"/>
        <strike val="0"/>
        <outline val="0"/>
        <shadow val="0"/>
        <color theme="1"/>
        <sz val="11"/>
        <vertAlign val="baseline"/>
        <scheme val="minor"/>
      </font>
      <numFmt numFmtId="35" formatCode="_(* #,##0.00_);_(* \(#,##0.00\);_(* &quot;-&quot;??_);_(@_)"/>
      <fill>
        <patternFill>
          <fgColor indexed="64"/>
          <bgColor indexed="65"/>
        </patternFill>
      </fill>
    </dxf>
    <dxf>
      <font>
        <name val="Aptos Narrow"/>
        <family val="2"/>
        <strike val="0"/>
        <outline val="0"/>
        <shadow val="0"/>
        <condense val="0"/>
        <color theme="1"/>
        <extend val="0"/>
        <sz val="11"/>
        <vertAlign val="baseline"/>
        <scheme val="minor"/>
      </font>
      <numFmt numFmtId="35" formatCode="_(* #,##0.00_);_(* \(#,##0.00\);_(* &quot;-&quot;??_);_(@_)"/>
      <fill>
        <patternFill>
          <fgColor indexed="64"/>
          <bgColor indexed="65"/>
        </patternFill>
      </fill>
    </dxf>
    <dxf>
      <font>
        <name val="Aptos Narrow"/>
        <family val="2"/>
        <strike val="0"/>
        <outline val="0"/>
        <shadow val="0"/>
        <condense val="0"/>
        <color theme="1"/>
        <extend val="0"/>
        <sz val="11"/>
        <vertAlign val="baseline"/>
        <scheme val="minor"/>
      </font>
      <numFmt numFmtId="35" formatCode="_(* #,##0.00_);_(* \(#,##0.00\);_(* &quot;-&quot;??_);_(@_)"/>
      <fill>
        <patternFill>
          <fgColor indexed="64"/>
          <bgColor indexed="65"/>
        </patternFill>
      </fill>
    </dxf>
    <dxf>
      <font>
        <name val="Aptos Narrow"/>
        <family val="2"/>
        <strike val="0"/>
        <outline val="0"/>
        <shadow val="0"/>
        <condense val="0"/>
        <color theme="1"/>
        <extend val="0"/>
        <sz val="11"/>
        <vertAlign val="baseline"/>
        <scheme val="minor"/>
      </font>
      <fill>
        <patternFill>
          <fgColor indexed="64"/>
          <bgColor indexed="65"/>
        </patternFill>
      </fill>
    </dxf>
    <dxf>
      <font>
        <name val="Aptos Narrow"/>
        <family val="2"/>
        <strike val="0"/>
        <outline val="0"/>
        <shadow val="0"/>
        <color theme="1"/>
        <sz val="11"/>
        <vertAlign val="baseline"/>
        <scheme val="minor"/>
      </font>
      <fill>
        <patternFill>
          <fgColor indexed="64"/>
          <bgColor indexed="65"/>
        </patternFill>
      </fill>
    </dxf>
    <dxf>
      <font>
        <name val="Aptos Narrow"/>
        <family val="2"/>
        <strike val="0"/>
        <outline val="0"/>
        <shadow val="0"/>
        <condense val="0"/>
        <color theme="1"/>
        <extend val="0"/>
        <sz val="11"/>
        <vertAlign val="baseline"/>
        <scheme val="minor"/>
      </font>
      <numFmt numFmtId="167" formatCode="_([$€-2]\ * #,##0.00_);_([$€-2]\ * \(#,##0.00\);_([$€-2]\ * &quot;-&quot;??_);_(@_)"/>
      <fill>
        <patternFill>
          <fgColor indexed="64"/>
          <bgColor indexed="65"/>
        </patternFill>
      </fill>
    </dxf>
    <dxf>
      <font>
        <name val="Aptos Narrow"/>
        <family val="2"/>
        <strike val="0"/>
        <outline val="0"/>
        <shadow val="0"/>
        <color theme="1"/>
        <sz val="11"/>
        <vertAlign val="baseline"/>
        <scheme val="minor"/>
      </font>
      <numFmt numFmtId="167" formatCode="_([$€-2]\ * #,##0.00_);_([$€-2]\ * \(#,##0.00\);_([$€-2]\ * &quot;-&quot;??_);_(@_)"/>
      <fill>
        <patternFill>
          <fgColor indexed="64"/>
          <bgColor indexed="65"/>
        </patternFill>
      </fill>
    </dxf>
    <dxf>
      <font>
        <name val="Aptos Narrow"/>
        <family val="2"/>
        <strike val="0"/>
        <outline val="0"/>
        <shadow val="0"/>
        <condense val="0"/>
        <color theme="1"/>
        <extend val="0"/>
        <sz val="11"/>
        <vertAlign val="baseline"/>
        <scheme val="minor"/>
      </font>
      <numFmt numFmtId="169" formatCode="#,##0&quot; Kg&quot;"/>
      <fill>
        <patternFill>
          <fgColor indexed="64"/>
          <bgColor indexed="65"/>
        </patternFill>
      </fill>
    </dxf>
    <dxf>
      <font>
        <name val="Aptos Narrow"/>
        <family val="2"/>
        <strike val="0"/>
        <outline val="0"/>
        <shadow val="0"/>
        <condense val="0"/>
        <color theme="1"/>
        <extend val="0"/>
        <sz val="11"/>
        <vertAlign val="baseline"/>
        <scheme val="minor"/>
      </font>
      <numFmt numFmtId="169" formatCode="#,##0&quot; Kg&quot;"/>
      <fill>
        <patternFill>
          <fgColor indexed="64"/>
          <bgColor indexed="65"/>
        </patternFill>
      </fill>
    </dxf>
    <dxf>
      <font>
        <name val="Aptos Narrow"/>
        <family val="2"/>
        <strike val="0"/>
        <outline val="0"/>
        <shadow val="0"/>
        <condense val="0"/>
        <color rgb="FFFFFFFF"/>
        <extend val="0"/>
        <sz val="11"/>
        <vertAlign val="baseline"/>
        <scheme val="minor"/>
      </font>
      <numFmt numFmtId="184" formatCode="#,##0.00000&quot; Kg&quot;"/>
      <fill>
        <patternFill patternType="solid">
          <fgColor indexed="64"/>
          <bgColor rgb="FFD6DCE5"/>
        </patternFill>
      </fill>
    </dxf>
    <dxf>
      <font>
        <name val="Aptos Narrow"/>
        <family val="2"/>
        <strike val="0"/>
        <outline val="0"/>
        <shadow val="0"/>
        <condense val="0"/>
        <color rgb="FFFFFFFF"/>
        <extend val="0"/>
        <sz val="11"/>
        <vertAlign val="baseline"/>
        <scheme val="minor"/>
      </font>
      <numFmt numFmtId="184" formatCode="#,##0.00000&quot; Kg&quot;"/>
      <fill>
        <patternFill patternType="solid">
          <fgColor indexed="64"/>
          <bgColor rgb="FFD6DCE5"/>
        </patternFill>
      </fill>
    </dxf>
    <dxf>
      <font>
        <name val="Aptos Narrow"/>
        <family val="2"/>
        <strike val="0"/>
        <outline val="0"/>
        <shadow val="0"/>
        <condense val="0"/>
        <color theme="1"/>
        <extend val="0"/>
        <sz val="11"/>
        <vertAlign val="baseline"/>
        <scheme val="minor"/>
      </font>
      <numFmt numFmtId="166" formatCode="_(* #,##0_);_(* \(#,##0\);_(* &quot;-&quot;??_);_(@_)"/>
      <fill>
        <patternFill>
          <fgColor indexed="64"/>
          <bgColor indexed="65"/>
        </patternFill>
      </fill>
    </dxf>
    <dxf>
      <font>
        <name val="Aptos Narrow"/>
        <family val="2"/>
        <strike val="0"/>
        <outline val="0"/>
        <shadow val="0"/>
        <color theme="1"/>
        <sz val="11"/>
        <vertAlign val="baseline"/>
        <scheme val="minor"/>
      </font>
      <numFmt numFmtId="166" formatCode="_(* #,##0_);_(* \(#,##0\);_(* &quot;-&quot;??_);_(@_)"/>
      <fill>
        <patternFill>
          <fgColor indexed="64"/>
          <bgColor indexed="65"/>
        </patternFill>
      </fill>
    </dxf>
    <dxf>
      <font>
        <name val="Aptos Narrow"/>
        <family val="2"/>
        <strike val="0"/>
        <outline val="0"/>
        <shadow val="0"/>
        <condense val="0"/>
        <color theme="1"/>
        <extend val="0"/>
        <sz val="11"/>
        <vertAlign val="baseline"/>
        <scheme val="minor"/>
      </font>
      <numFmt numFmtId="169" formatCode="#,##0&quot; Kg&quot;"/>
      <fill>
        <patternFill patternType="solid">
          <fgColor indexed="64"/>
          <bgColor rgb="FFD6DCE5"/>
        </patternFill>
      </fill>
      <border outline="0">
        <left style="medium">
          <color indexed="64"/>
        </left>
        <right style="medium">
          <color indexed="64"/>
        </right>
        <top/>
        <bottom/>
      </border>
    </dxf>
    <dxf>
      <font>
        <name val="Aptos Narrow"/>
        <family val="2"/>
        <strike val="0"/>
        <outline val="0"/>
        <shadow val="0"/>
        <condense val="0"/>
        <color theme="1"/>
        <extend val="0"/>
        <sz val="11"/>
        <vertAlign val="baseline"/>
        <scheme val="minor"/>
      </font>
      <numFmt numFmtId="169" formatCode="#,##0&quot; Kg&quot;"/>
      <fill>
        <patternFill patternType="solid">
          <fgColor indexed="64"/>
          <bgColor rgb="FFD6DCE5"/>
        </patternFill>
      </fill>
      <border>
        <left style="medium">
          <color indexed="64"/>
        </left>
        <right style="medium">
          <color indexed="64"/>
        </right>
        <top/>
        <bottom/>
        <vertical/>
        <horizontal/>
      </border>
    </dxf>
    <dxf>
      <font>
        <name val="Aptos Narrow"/>
        <family val="2"/>
        <strike val="0"/>
        <outline val="0"/>
        <shadow val="0"/>
        <condense val="0"/>
        <color theme="1"/>
        <extend val="0"/>
        <sz val="11"/>
        <vertAlign val="baseline"/>
        <scheme val="minor"/>
      </font>
      <numFmt numFmtId="169" formatCode="#,##0&quot; Kg&quot;"/>
      <fill>
        <patternFill patternType="solid">
          <fgColor indexed="64"/>
          <bgColor rgb="FFD6DCE5"/>
        </patternFill>
      </fill>
    </dxf>
    <dxf>
      <font>
        <name val="Aptos Narrow"/>
        <family val="2"/>
        <strike val="0"/>
        <outline val="0"/>
        <shadow val="0"/>
        <condense val="0"/>
        <color theme="1"/>
        <extend val="0"/>
        <sz val="11"/>
        <vertAlign val="baseline"/>
        <scheme val="minor"/>
      </font>
      <numFmt numFmtId="169" formatCode="#,##0&quot; Kg&quot;"/>
      <fill>
        <patternFill patternType="solid">
          <fgColor indexed="64"/>
          <bgColor rgb="FFD6DCE5"/>
        </patternFill>
      </fill>
    </dxf>
    <dxf>
      <font>
        <name val="Aptos Narrow"/>
        <family val="2"/>
        <strike val="0"/>
        <outline val="0"/>
        <shadow val="0"/>
        <condense val="0"/>
        <color theme="1"/>
        <extend val="0"/>
        <sz val="11"/>
        <vertAlign val="baseline"/>
        <scheme val="minor"/>
      </font>
      <numFmt numFmtId="35" formatCode="_(* #,##0.00_);_(* \(#,##0.00\);_(* &quot;-&quot;??_);_(@_)"/>
      <fill>
        <patternFill patternType="solid">
          <fgColor indexed="64"/>
          <bgColor rgb="FFD6DCE5"/>
        </patternFill>
      </fill>
    </dxf>
    <dxf>
      <font>
        <name val="Aptos Narrow"/>
        <family val="2"/>
        <strike val="0"/>
        <outline val="0"/>
        <shadow val="0"/>
        <color theme="1"/>
        <sz val="11"/>
        <vertAlign val="baseline"/>
        <scheme val="minor"/>
      </font>
      <numFmt numFmtId="35" formatCode="_(* #,##0.00_);_(* \(#,##0.00\);_(* &quot;-&quot;??_);_(@_)"/>
      <fill>
        <patternFill patternType="solid">
          <fgColor indexed="64"/>
          <bgColor rgb="FFD6DCE5"/>
        </patternFill>
      </fill>
    </dxf>
    <dxf>
      <font>
        <name val="Aptos Narrow"/>
        <family val="2"/>
        <strike val="0"/>
        <outline val="0"/>
        <shadow val="0"/>
        <condense val="0"/>
        <color theme="1"/>
        <extend val="0"/>
        <sz val="11"/>
        <vertAlign val="baseline"/>
        <scheme val="minor"/>
      </font>
      <numFmt numFmtId="166" formatCode="_(* #,##0_);_(* \(#,##0\);_(* &quot;-&quot;??_);_(@_)"/>
      <fill>
        <patternFill patternType="solid">
          <fgColor indexed="64"/>
          <bgColor rgb="FFD6DCE5"/>
        </patternFill>
      </fill>
    </dxf>
    <dxf>
      <font>
        <name val="Aptos Narrow"/>
        <family val="2"/>
        <strike val="0"/>
        <outline val="0"/>
        <shadow val="0"/>
        <color theme="1"/>
        <sz val="11"/>
        <vertAlign val="baseline"/>
        <scheme val="minor"/>
      </font>
      <numFmt numFmtId="166" formatCode="_(* #,##0_);_(* \(#,##0\);_(* &quot;-&quot;??_);_(@_)"/>
      <fill>
        <patternFill patternType="solid">
          <fgColor indexed="64"/>
          <bgColor rgb="FFD6DCE5"/>
        </patternFill>
      </fill>
    </dxf>
    <dxf>
      <font>
        <name val="Aptos Narrow"/>
        <family val="2"/>
        <strike val="0"/>
        <outline val="0"/>
        <shadow val="0"/>
        <condense val="0"/>
        <color theme="1"/>
        <extend val="0"/>
        <sz val="11"/>
        <vertAlign val="baseline"/>
        <scheme val="minor"/>
      </font>
      <numFmt numFmtId="166" formatCode="_(* #,##0_);_(* \(#,##0\);_(* &quot;-&quot;??_);_(@_)"/>
      <fill>
        <patternFill patternType="solid">
          <fgColor indexed="64"/>
          <bgColor rgb="FFD6DCE5"/>
        </patternFill>
      </fill>
    </dxf>
    <dxf>
      <font>
        <name val="Aptos Narrow"/>
        <family val="2"/>
        <strike val="0"/>
        <outline val="0"/>
        <shadow val="0"/>
        <color theme="1"/>
        <sz val="11"/>
        <vertAlign val="baseline"/>
        <scheme val="minor"/>
      </font>
      <numFmt numFmtId="166" formatCode="_(* #,##0_);_(* \(#,##0\);_(* &quot;-&quot;??_);_(@_)"/>
      <fill>
        <patternFill patternType="solid">
          <fgColor indexed="64"/>
          <bgColor rgb="FFD6DCE5"/>
        </patternFill>
      </fill>
    </dxf>
    <dxf>
      <font>
        <name val="Aptos Narrow"/>
        <family val="2"/>
        <strike val="0"/>
        <outline val="0"/>
        <shadow val="0"/>
        <condense val="0"/>
        <color theme="1"/>
        <extend val="0"/>
        <sz val="11"/>
        <vertAlign val="baseline"/>
        <scheme val="minor"/>
      </font>
      <numFmt numFmtId="166" formatCode="_(* #,##0_);_(* \(#,##0\);_(* &quot;-&quot;??_);_(@_)"/>
      <fill>
        <patternFill patternType="solid">
          <fgColor indexed="64"/>
          <bgColor rgb="FFD6DCE5"/>
        </patternFill>
      </fill>
      <alignment horizontal="left" vertical="bottom"/>
    </dxf>
    <dxf>
      <font>
        <name val="Aptos Narrow"/>
        <family val="2"/>
        <strike val="0"/>
        <outline val="0"/>
        <shadow val="0"/>
        <condense val="0"/>
        <color theme="1"/>
        <extend val="0"/>
        <sz val="11"/>
        <vertAlign val="baseline"/>
        <scheme val="minor"/>
      </font>
      <numFmt numFmtId="166" formatCode="_(* #,##0_);_(* \(#,##0\);_(* &quot;-&quot;??_);_(@_)"/>
      <fill>
        <patternFill patternType="solid">
          <fgColor indexed="64"/>
          <bgColor rgb="FFD6DCE5"/>
        </patternFill>
      </fill>
      <alignment horizontal="left" vertical="bottom"/>
    </dxf>
    <dxf>
      <font>
        <name val="Aptos Narrow"/>
        <family val="2"/>
        <strike val="0"/>
        <outline val="0"/>
        <shadow val="0"/>
        <color theme="1"/>
        <sz val="11"/>
        <vertAlign val="baseline"/>
        <scheme val="minor"/>
      </font>
      <fill>
        <patternFill>
          <fgColor indexed="64"/>
          <bgColor indexed="65"/>
        </patternFill>
      </fill>
    </dxf>
    <dxf>
      <font>
        <name val="Aptos Narrow"/>
        <family val="2"/>
        <b val="1"/>
        <strike val="0"/>
        <outline val="0"/>
        <shadow val="0"/>
        <condense val="0"/>
        <color rgb="FFFFFFFF"/>
        <extend val="0"/>
        <sz val="11"/>
        <vertAlign val="baseline"/>
        <scheme val="minor"/>
      </font>
      <numFmt numFmtId="35" formatCode="_(* #,##0.00_);_(* \(#,##0.00\);_(* &quot;-&quot;??_);_(@_)"/>
      <fill>
        <patternFill patternType="solid">
          <fgColor indexed="64"/>
          <bgColor rgb="FF1F4E79"/>
        </patternFill>
      </fill>
      <alignment horizontal="left"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pivotCacheDefinition" Target="/xl/pivotCache/pivotCacheDefinition1.xml" Id="rId17"/><Relationship Type="http://schemas.openxmlformats.org/officeDocument/2006/relationships/externalLink" Target="/xl/externalLinks/externalLink1.xml" Id="rId18"/><Relationship Type="http://schemas.openxmlformats.org/officeDocument/2006/relationships/externalLink" Target="/xl/externalLinks/externalLink2.xml" Id="rId19"/><Relationship Type="http://schemas.openxmlformats.org/officeDocument/2006/relationships/externalLink" Target="/xl/externalLinks/externalLink3.xml" Id="rId20"/><Relationship Type="http://schemas.openxmlformats.org/officeDocument/2006/relationships/externalLink" Target="/xl/externalLinks/externalLink4.xml" Id="rId21"/><Relationship Type="http://schemas.openxmlformats.org/officeDocument/2006/relationships/externalLink" Target="/xl/externalLinks/externalLink5.xml" Id="rId22"/><Relationship Type="http://schemas.openxmlformats.org/officeDocument/2006/relationships/externalLink" Target="/xl/externalLinks/externalLink6.xml" Id="rId23"/><Relationship Type="http://schemas.openxmlformats.org/officeDocument/2006/relationships/externalLink" Target="/xl/externalLinks/externalLink7.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user</author>
  </authors>
  <commentList>
    <comment ref="P4" authorId="0" shapeId="0">
      <text>
        <t>user:
3.1K Eur for 60 Tone manufacturing</t>
      </text>
    </comment>
    <comment ref="E24" authorId="0" shapeId="0">
      <text>
        <t>user:
Short reels under 1K meter</t>
      </text>
    </comment>
  </commentList>
</comments>
</file>

<file path=xl/comments/comment2.xml><?xml version="1.0" encoding="utf-8"?>
<comments xmlns="http://schemas.openxmlformats.org/spreadsheetml/2006/main">
  <authors>
    <author>tc={FFC01D9C-2636-44F1-B5DD-7DEB63CA12E2}</author>
    <author>tc={B545A99D-9EF4-4948-93F0-BFBF32BC3B17}</author>
    <author>tc={2A87582D-5128-42E6-B4C5-FC297492FF90}</author>
    <author>tc={BA401F1F-68A0-4393-8437-301AF5E0C834}</author>
    <author>tc={6A8F4E62-01CB-4D92-AB8C-70D2F01F6B7B}</author>
  </authors>
  <commentList>
    <comment ref="D203" authorId="0" shapeId="0">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03" authorId="1" shapeId="0">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22" authorId="2" shapeId="0">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33" authorId="3" shapeId="0">
      <text>
        <t>[Threaded comment]
Your version of Excel allows you to read this threaded comment; however, any edits to it will get removed if the file is opened in a newer version of Excel. Learn more: https://go.microsoft.com/fwlink/?linkid=870924
Comment:
    Need to be checked</t>
      </text>
    </comment>
    <comment ref="F252" authorId="4" shapeId="0">
      <text>
        <t>[Threaded comment]
Your version of Excel allows you to read this threaded comment; however, any edits to it will get removed if the file is opened in a newer version of Excel. Learn more: https://go.microsoft.com/fwlink/?linkid=870924
Comment:
    Need to be checked</t>
      </text>
    </comment>
  </commentList>
</comments>
</file>

<file path=xl/comments/comment3.xml><?xml version="1.0" encoding="utf-8"?>
<comments xmlns="http://schemas.openxmlformats.org/spreadsheetml/2006/main">
  <authors>
    <author>tc={6C98EA5A-6121-4E6D-A12F-448489E9AFCD}</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Tune Price</t>
      </text>
    </comment>
  </commentList>
</comments>
</file>

<file path=xl/externalLinks/_rels/externalLink1.xml.rels><Relationships xmlns="http://schemas.openxmlformats.org/package/2006/relationships"><Relationship Type="http://schemas.openxmlformats.org/officeDocument/2006/relationships/externalLinkPath" Target="https://corptipa-my.sharepoint.com/personal/michael_c_tipa-corp_com/Documents/Desktop/Study/Pricing%20Components-v4_10.05.2026%20-%20Copy.xlsx" TargetMode="External" Id="rId2"/></Relationships>
</file>

<file path=xl/externalLinks/_rels/externalLink2.xml.rels><Relationships xmlns="http://schemas.openxmlformats.org/package/2006/relationships"><Relationship Type="http://schemas.openxmlformats.org/officeDocument/2006/relationships/externalLinkPath" Target="https://corptipa-my.sharepoint.com/personal/michael_c_tipa-corp_com/Documents/Desktop/Study/2025%20Pricing%20calculator%20-%2015.06.2026.xlsx" TargetMode="External" Id="rId2"/></Relationships>
</file>

<file path=xl/externalLinks/_rels/externalLink3.xml.rels><Relationships xmlns="http://schemas.openxmlformats.org/package/2006/relationships"><Relationship Type="http://schemas.openxmlformats.org/officeDocument/2006/relationships/externalLinkPath" Target="https://corptipa-my.sharepoint.com/personal/michael_c_tipa-corp_com/Documents/Desktop/Study/2025%20Pricing%20calculator%20-%20For%202026%20Price%20list_Michael.xlsx" TargetMode="External" Id="rId2"/></Relationships>
</file>

<file path=xl/externalLinks/_rels/externalLink4.xml.rels><Relationships xmlns="http://schemas.openxmlformats.org/package/2006/relationships"><Relationship Type="http://schemas.openxmlformats.org/officeDocument/2006/relationships/externalLinkPath" Target="https://corptipa.sharepoint.com/personal/guy_tipa-corp_com/Documents/Documents/WP-Macro%20-Test%20gf64.xlsm" TargetMode="External" Id="rId1"/></Relationships>
</file>

<file path=xl/externalLinks/_rels/externalLink5.xml.rels><Relationships xmlns="http://schemas.openxmlformats.org/package/2006/relationships"><Relationship Type="http://schemas.openxmlformats.org/officeDocument/2006/relationships/externalLinkPath" Target="https://corptipa-my.sharepoint.com/personal/michael_c_tipa-corp_com/Documents/Desktop/Study/2025%20Pricing%20calculator%20-%20Europe%20%20June%20draft.xlsx" TargetMode="External" Id="rId2"/></Relationships>
</file>

<file path=xl/externalLinks/_rels/externalLink6.xml.rels><Relationships xmlns="http://schemas.openxmlformats.org/package/2006/relationships"><Relationship Type="http://schemas.openxmlformats.org/officeDocument/2006/relationships/externalLinkPath" Target="file:///C:\Users\ShaharShani\AppData\Local\Microsoft\Windows\INetCache\Content.Outlook\0QYE2JO2\Films%20BOM%20simulator.xlsx" TargetMode="External" Id="rId1"/></Relationships>
</file>

<file path=xl/externalLinks/_rels/externalLink7.xml.rels><Relationships xmlns="http://schemas.openxmlformats.org/package/2006/relationships"><Relationship Type="http://schemas.openxmlformats.org/officeDocument/2006/relationships/externalLinkPath" Target="../../../../../Users/Oren/Google%20Drive/Oren/Production/film%20construction%20tool%20-%2028.7.1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BOM"/>
      <sheetName val="Sheet11"/>
      <sheetName val="Raw Material DB"/>
      <sheetName val="new Pricing model- 1st draft"/>
      <sheetName val="new Pricing model- 2nd draft"/>
      <sheetName val="Calculator"/>
      <sheetName val="List of names"/>
      <sheetName val="Pricing components"/>
      <sheetName val="Film -Summary Pricing- updated"/>
      <sheetName val="Sheet9"/>
      <sheetName val="Lmntn &amp; Prntng- Marma &amp; Bastin "/>
      <sheetName val="Converting- Marma &amp; Bastin "/>
      <sheetName val="Special checks"/>
      <sheetName val="Prices check"/>
      <sheetName val="Laminates"/>
      <sheetName val="Film -Summary Pricing"/>
      <sheetName val="Sheet1"/>
      <sheetName val="Harbor Packaging Inc. - Gilly L"/>
      <sheetName val="Bags Summary"/>
      <sheetName val="Films Summary"/>
      <sheetName val="Laminate for reels  - Sales"/>
      <sheetName val="Laminate for reels  --724 only"/>
      <sheetName val="Karl Pricing"/>
      <sheetName val="Zipper Costs"/>
      <sheetName val="Wicketed"/>
      <sheetName val="Shipment Costs"/>
      <sheetName val="Sheet2"/>
      <sheetName val="Pricing Model Flowchart"/>
    </sheetNames>
    <sheetDataSet>
      <sheetData sheetId="0" refreshError="1"/>
      <sheetData sheetId="1" refreshError="1"/>
      <sheetData sheetId="2" refreshError="1">
        <row r="2">
          <cell r="Q2" t="str">
            <v>Epotal CF 430 water base adhesive (US)</v>
          </cell>
          <cell r="U2" t="str">
            <v>Hardener Basonat® LR 9056 (~3%wt with CF430)</v>
          </cell>
          <cell r="X2" t="str">
            <v>Pillow Bag</v>
          </cell>
        </row>
        <row r="3">
          <cell r="Q3" t="str">
            <v>Epotal ECO 3675 ( Water based Adhesive )</v>
          </cell>
          <cell r="U3" t="str">
            <v>Basonat HW 2270</v>
          </cell>
          <cell r="X3" t="str">
            <v>Resealable Flap Bag</v>
          </cell>
        </row>
        <row r="4">
          <cell r="Q4" t="str">
            <v>Epotal ECO 3702 ( Water based Adhesive )</v>
          </cell>
          <cell r="X4" t="str">
            <v>Open Bag - Units</v>
          </cell>
        </row>
        <row r="5">
          <cell r="X5" t="str">
            <v>Open Bag on a Reel</v>
          </cell>
        </row>
        <row r="6">
          <cell r="X6" t="str">
            <v>Zipper Bag</v>
          </cell>
        </row>
        <row r="7">
          <cell r="X7" t="str">
            <v>Open Bag - Wicketed</v>
          </cell>
        </row>
        <row r="8">
          <cell r="X8" t="str">
            <v>Pillow Bag with Tray</v>
          </cell>
        </row>
        <row r="9">
          <cell r="X9" t="str">
            <v>Wicketed Bag</v>
          </cell>
        </row>
        <row r="10">
          <cell r="X10" t="str">
            <v>Open Flap Bag</v>
          </cell>
        </row>
        <row r="11">
          <cell r="X11" t="str">
            <v>Open Pouch - Units</v>
          </cell>
        </row>
        <row r="12">
          <cell r="X12" t="str">
            <v>Garment Bag</v>
          </cell>
        </row>
        <row r="13">
          <cell r="X13" t="str">
            <v>Mailer Bag</v>
          </cell>
        </row>
        <row r="14">
          <cell r="X14" t="str">
            <v>SUP</v>
          </cell>
        </row>
        <row r="15">
          <cell r="X15" t="str">
            <v>Zipper Pouch</v>
          </cell>
        </row>
        <row r="16">
          <cell r="X16" t="str">
            <v>Stand-up Pouch</v>
          </cell>
        </row>
        <row r="17">
          <cell r="X17" t="str">
            <v>Bar Wrapper</v>
          </cell>
        </row>
        <row r="18">
          <cell r="X18" t="str">
            <v>Open Flap Pouch</v>
          </cell>
        </row>
        <row r="19">
          <cell r="X19" t="str">
            <v>Sachet</v>
          </cell>
        </row>
        <row r="20">
          <cell r="M20" t="str">
            <v>T.LAM 121</v>
          </cell>
          <cell r="X20" t="str">
            <v>Side Gusseted Pouch</v>
          </cell>
        </row>
        <row r="21">
          <cell r="X21" t="str">
            <v>Sealable Flap Bag</v>
          </cell>
        </row>
        <row r="22">
          <cell r="X22" t="str">
            <v>Captive Flap Bag</v>
          </cell>
        </row>
        <row r="23">
          <cell r="M23" t="str">
            <v>T.LAM 121M</v>
          </cell>
          <cell r="X23" t="str">
            <v>Flat Bottom Pouch</v>
          </cell>
        </row>
        <row r="24">
          <cell r="X24" t="str">
            <v>Sealable Flap Pouch</v>
          </cell>
        </row>
        <row r="25">
          <cell r="X25" t="str">
            <v>3-side seal zipper flat pouch</v>
          </cell>
        </row>
        <row r="46">
          <cell r="M46" t="str">
            <v>T.LAM 628</v>
          </cell>
        </row>
        <row r="47">
          <cell r="M47" t="str">
            <v>T.LAM 630</v>
          </cell>
        </row>
        <row r="48">
          <cell r="M48" t="str">
            <v>T.LAM 638</v>
          </cell>
        </row>
        <row r="49">
          <cell r="M49" t="str">
            <v>T.LAM 648</v>
          </cell>
        </row>
        <row r="50">
          <cell r="M50" t="str">
            <v>T.LAM 652</v>
          </cell>
        </row>
        <row r="51">
          <cell r="M51" t="str">
            <v>T.LAM 668</v>
          </cell>
        </row>
        <row r="52">
          <cell r="M52" t="str">
            <v>T.LAM 711</v>
          </cell>
        </row>
        <row r="53">
          <cell r="M53" t="str">
            <v>T.LAM 712</v>
          </cell>
        </row>
        <row r="54">
          <cell r="M54" t="str">
            <v>T.LAM 714</v>
          </cell>
        </row>
        <row r="55">
          <cell r="M55" t="str">
            <v>T.LAM 716</v>
          </cell>
        </row>
        <row r="56">
          <cell r="M56" t="str">
            <v>T.LAM 717</v>
          </cell>
        </row>
        <row r="57">
          <cell r="M57" t="str">
            <v>T.LAM 724</v>
          </cell>
        </row>
        <row r="58">
          <cell r="M58" t="str">
            <v>T.LAM 725</v>
          </cell>
        </row>
        <row r="59">
          <cell r="M59" t="str">
            <v>T.LAM 728</v>
          </cell>
        </row>
        <row r="60">
          <cell r="M60" t="str">
            <v>T.LAM 729</v>
          </cell>
        </row>
        <row r="61">
          <cell r="M61" t="str">
            <v>T.LAM 730</v>
          </cell>
        </row>
        <row r="62">
          <cell r="M62" t="str">
            <v>T.LAM 733</v>
          </cell>
        </row>
        <row r="63">
          <cell r="M63" t="str">
            <v>T.LAM 735</v>
          </cell>
        </row>
        <row r="64">
          <cell r="M64" t="str">
            <v>T.LAM 736</v>
          </cell>
        </row>
        <row r="65">
          <cell r="M65" t="str">
            <v>T.LAM 737</v>
          </cell>
        </row>
        <row r="66">
          <cell r="M66" t="str">
            <v>T.LAM 738</v>
          </cell>
        </row>
        <row r="67">
          <cell r="M67" t="str">
            <v>T.LAM 739</v>
          </cell>
        </row>
        <row r="68">
          <cell r="M68" t="str">
            <v>T.LAM 742</v>
          </cell>
        </row>
        <row r="69">
          <cell r="M69" t="str">
            <v>T.LAM 743</v>
          </cell>
        </row>
        <row r="70">
          <cell r="M70" t="str">
            <v>T.LAM 744</v>
          </cell>
        </row>
        <row r="71">
          <cell r="M71" t="str">
            <v>T.LAM 745</v>
          </cell>
        </row>
        <row r="72">
          <cell r="M72" t="str">
            <v>T.LAM 746</v>
          </cell>
        </row>
        <row r="73">
          <cell r="M73" t="str">
            <v>T.LAM-EU.106</v>
          </cell>
        </row>
        <row r="74">
          <cell r="M74" t="str">
            <v>T.LAM-EU.607</v>
          </cell>
        </row>
        <row r="77">
          <cell r="M77" t="str">
            <v>T.LAM-EU.819</v>
          </cell>
        </row>
        <row r="79">
          <cell r="M79" t="str">
            <v>T.LAM-EU.923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ipa 302FG"/>
      <sheetName val="Tipa 302NF"/>
      <sheetName val="Tipa 318"/>
      <sheetName val="Tipa 302 Verbano"/>
      <sheetName val="Prices check"/>
      <sheetName val="BOM"/>
      <sheetName val="Product BOM Summary 2024"/>
      <sheetName val="Raw material summary"/>
      <sheetName val="Film PL. US"/>
      <sheetName val="Film -Summary Blown"/>
      <sheetName val="Film -Summary"/>
      <sheetName val="Film -Summary Pricing"/>
      <sheetName val="WICKET1 SALES"/>
      <sheetName val="WICKET2 SALES"/>
      <sheetName val="WICKET1"/>
      <sheetName val="WICKET2"/>
      <sheetName val="WICKET3"/>
      <sheetName val="WICKET4"/>
      <sheetName val="WICKET5"/>
      <sheetName val="WICKET6"/>
      <sheetName val="WICKET7"/>
      <sheetName val="WICKET8"/>
      <sheetName val="Bgs Calculator"/>
      <sheetName val="KArl Pricing"/>
      <sheetName val="Garments calc."/>
      <sheetName val="Bgs Calculator sales"/>
      <sheetName val="Garments Sales calc. "/>
      <sheetName val="Laminate for reels  - Sales"/>
      <sheetName val="Laminate for reels"/>
      <sheetName val="Laminate for bags"/>
      <sheetName val="Laminated bags"/>
      <sheetName val="Laminated bags - Sales"/>
      <sheetName val="Laminate for Bags  - Sales"/>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List of names"/>
      <sheetName val="ייצור זיפר"/>
      <sheetName val="Shipment to Turkey"/>
      <sheetName val="Trucking"/>
      <sheetName val="Sheet1"/>
      <sheetName val="2025 Pricing calculator - 15"/>
    </sheetNames>
    <sheetDataSet>
      <sheetData sheetId="0"/>
      <sheetData sheetId="1"/>
      <sheetData sheetId="2"/>
      <sheetData sheetId="3"/>
      <sheetData sheetId="4"/>
      <sheetData sheetId="5"/>
      <sheetData sheetId="6"/>
      <sheetData sheetId="7">
        <row r="3">
          <cell r="B3" t="str">
            <v>update for Feb 24</v>
          </cell>
          <cell r="F3">
            <v>1.1000000000000001</v>
          </cell>
        </row>
        <row r="4">
          <cell r="B4" t="str">
            <v>Price per KG</v>
          </cell>
        </row>
        <row r="5">
          <cell r="B5" t="str">
            <v>EU</v>
          </cell>
        </row>
        <row r="6">
          <cell r="A6" t="str">
            <v>Tipa302FG</v>
          </cell>
          <cell r="B6">
            <v>3.8462964797012837</v>
          </cell>
        </row>
        <row r="7">
          <cell r="A7" t="str">
            <v>Tipa302WFG</v>
          </cell>
          <cell r="B7">
            <v>4.0642706021186576</v>
          </cell>
        </row>
        <row r="8">
          <cell r="A8" t="str">
            <v>Tipa 312FG</v>
          </cell>
          <cell r="B8">
            <v>3.4049671393853989</v>
          </cell>
        </row>
        <row r="9">
          <cell r="A9" t="str">
            <v>Tipa312MET</v>
          </cell>
          <cell r="B9">
            <v>5.4049671393853984</v>
          </cell>
        </row>
        <row r="10">
          <cell r="A10" t="str">
            <v>Tipa312W</v>
          </cell>
          <cell r="B10">
            <v>3.8157094534372571</v>
          </cell>
        </row>
        <row r="11">
          <cell r="A11" t="str">
            <v>Tipa 303B&amp;W</v>
          </cell>
          <cell r="B11">
            <v>3.9922709099466327</v>
          </cell>
        </row>
      </sheetData>
      <sheetData sheetId="8"/>
      <sheetData sheetId="9"/>
      <sheetData sheetId="10">
        <row r="3">
          <cell r="M3">
            <v>4.2000000000000003E-2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14">
          <cell r="P14" t="str">
            <v>Type of laminate in Sales calcultator</v>
          </cell>
          <cell r="Q14" t="str">
            <v>Laminate106</v>
          </cell>
          <cell r="R14" t="str">
            <v>Laminate608W</v>
          </cell>
          <cell r="S14" t="str">
            <v>Laminate618</v>
          </cell>
          <cell r="T14" t="str">
            <v>Laminate607</v>
          </cell>
          <cell r="U14" t="str">
            <v>Laminate418</v>
          </cell>
          <cell r="V14" t="str">
            <v>Laminate428</v>
          </cell>
          <cell r="W14" t="str">
            <v>Laminate819</v>
          </cell>
          <cell r="X14" t="str">
            <v>Laminate823</v>
          </cell>
        </row>
        <row r="15">
          <cell r="P15" t="str">
            <v>Laminate106</v>
          </cell>
          <cell r="Y15" t="str">
            <v>Tipa302FG</v>
          </cell>
        </row>
        <row r="16">
          <cell r="P16" t="str">
            <v>Laminate608W</v>
          </cell>
          <cell r="Y16" t="str">
            <v>Tipa317FG</v>
          </cell>
        </row>
        <row r="17">
          <cell r="P17" t="str">
            <v>Laminate618</v>
          </cell>
        </row>
        <row r="18">
          <cell r="P18" t="str">
            <v>Laminate607</v>
          </cell>
        </row>
        <row r="19">
          <cell r="P19" t="str">
            <v>Laminate418</v>
          </cell>
        </row>
        <row r="20">
          <cell r="P20" t="str">
            <v>Laminate428</v>
          </cell>
        </row>
        <row r="21">
          <cell r="P21" t="str">
            <v>Laminate819</v>
          </cell>
        </row>
        <row r="22">
          <cell r="P22" t="str">
            <v>Laminate823</v>
          </cell>
        </row>
      </sheetData>
      <sheetData sheetId="43"/>
      <sheetData sheetId="44"/>
      <sheetData sheetId="45"/>
      <sheetData sheetId="46"/>
      <sheetData sheetId="4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Tipa 302FG"/>
      <sheetName val="Tipa 302NF"/>
      <sheetName val="Tipa 318"/>
      <sheetName val="Tipa 302 Verbano"/>
      <sheetName val="Prices check"/>
      <sheetName val="BOM"/>
      <sheetName val="Product BOM Summary 2026"/>
      <sheetName val="Raw material summary"/>
      <sheetName val="Film PL. US"/>
      <sheetName val="Film -Summary Blown"/>
      <sheetName val="Film -Summary"/>
      <sheetName val="Bgs Calculator"/>
      <sheetName val="Film -Summary Pricing - 302- 25"/>
      <sheetName val="Film -Summary Pricing - 302 -30"/>
      <sheetName val="Film -Summary Pricing - 302 -35"/>
      <sheetName val="Film -Summary Pricing - 302-40"/>
      <sheetName val="Film -Summary Pricing-302 60+80"/>
      <sheetName val="Film -Summary Pricing-312 "/>
      <sheetName val="Film -Summary Pricing-312MET"/>
      <sheetName val="Film -Summary Pricing-312WMet"/>
      <sheetName val="Film -Summary Pricing-312W"/>
      <sheetName val="Film -Summary Pricing - 302W"/>
      <sheetName val="WICKET1 SALES"/>
      <sheetName val="WICKET2 SALES"/>
      <sheetName val="WICKET1"/>
      <sheetName val="WICKET2"/>
      <sheetName val="WICKET3"/>
      <sheetName val="WICKET4"/>
      <sheetName val="WICKET5"/>
      <sheetName val="WICKET6"/>
      <sheetName val="WICKET7"/>
      <sheetName val="WICKET8"/>
      <sheetName val="KArl Pricing"/>
      <sheetName val="Garments calc."/>
      <sheetName val="Bgs Calculator sales"/>
      <sheetName val="Garments Sales calc. "/>
      <sheetName val="List of names"/>
      <sheetName val="Laminate for reels  - Sales"/>
      <sheetName val="Laminate for reels"/>
      <sheetName val="Laminate for bags"/>
      <sheetName val="Laminated bags"/>
      <sheetName val="Laminated bags - Sales"/>
      <sheetName val="Laminate for Bags  - Sales"/>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ייצור זיפר"/>
      <sheetName val="Shipment to Turkey"/>
      <sheetName val="Trucking"/>
      <sheetName val="Sheet1"/>
      <sheetName val="2025 Pricing calculator - For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F3">
            <v>1.1000000000000001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row r="15">
          <cell r="P15" t="str">
            <v>Laminate106</v>
          </cell>
          <cell r="W15" t="str">
            <v>Tipa302FG</v>
          </cell>
        </row>
        <row r="16">
          <cell r="P16" t="str">
            <v>Laminate608W</v>
          </cell>
          <cell r="W16" t="str">
            <v>Tipa317FG</v>
          </cell>
        </row>
        <row r="17">
          <cell r="P17" t="str">
            <v>Laminate608</v>
          </cell>
        </row>
        <row r="18">
          <cell r="P18" t="str">
            <v>Laminate607</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ataSheet"/>
      <sheetName val="Cast Films"/>
      <sheetName val="GEF063 WP Sales"/>
      <sheetName val="Report"/>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ipa 302FG"/>
      <sheetName val="Tipa 302NF"/>
      <sheetName val="Tipa 318"/>
      <sheetName val="Tipa 302 Verbano"/>
      <sheetName val="Prices check"/>
      <sheetName val="BOM"/>
      <sheetName val="Product BOM Summary 2024"/>
      <sheetName val="Raw material summary"/>
      <sheetName val="Film PL. US"/>
      <sheetName val="Film -Summary Blown"/>
      <sheetName val="Film -Summary"/>
      <sheetName val="Sheet2"/>
      <sheetName val="Film -Summary Pricing"/>
      <sheetName val="WICKET1 SALES"/>
      <sheetName val="WICKET2 SALES"/>
      <sheetName val="WICKET1"/>
      <sheetName val="WICKET2"/>
      <sheetName val="WICKET3"/>
      <sheetName val="WICKET4"/>
      <sheetName val="WICKET5"/>
      <sheetName val="WICKET6"/>
      <sheetName val="WICKET7"/>
      <sheetName val="WICKET8"/>
      <sheetName val="Bgs Calculator"/>
      <sheetName val="KArl Pricing"/>
      <sheetName val="Garments calc."/>
      <sheetName val="Bgs Calculator sales"/>
      <sheetName val="Garments Sales calc. "/>
      <sheetName val="Laminate for reels  - Sales"/>
      <sheetName val="Laminate for reels"/>
      <sheetName val="Laminate for bags"/>
      <sheetName val="Laminated bags"/>
      <sheetName val="Laminated bags - Sales"/>
      <sheetName val="Laminate for Bags  - Sales"/>
      <sheetName val="Conversions"/>
      <sheetName val="Converting- Marma &amp; Bastin "/>
      <sheetName val="Lmntn &amp; Prntng- Marma &amp; Bastin "/>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List of names"/>
      <sheetName val="ייצור זיפר"/>
      <sheetName val="Shipment to Turkey"/>
      <sheetName val="Trucking"/>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ow r="14">
          <cell r="P14" t="str">
            <v>Type of laminate in Sales calcultator</v>
          </cell>
          <cell r="Q14" t="str">
            <v>Laminate106</v>
          </cell>
          <cell r="R14" t="str">
            <v>Laminate608 W</v>
          </cell>
          <cell r="S14" t="str">
            <v>Laminate618</v>
          </cell>
          <cell r="T14" t="str">
            <v>Laminate607</v>
          </cell>
          <cell r="U14" t="str">
            <v>Laminate418</v>
          </cell>
          <cell r="V14" t="str">
            <v>Laminate428</v>
          </cell>
          <cell r="W14" t="str">
            <v>Laminate819</v>
          </cell>
          <cell r="X14" t="str">
            <v>Laminate823</v>
          </cell>
        </row>
      </sheetData>
      <sheetData sheetId="47"/>
      <sheetData sheetId="48"/>
      <sheetData sheetId="49" refreshError="1"/>
      <sheetData sheetId="5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Target price"/>
      <sheetName val="Product tree"/>
      <sheetName val="Raw materials prices"/>
    </sheetNames>
    <sheetDataSet>
      <sheetData sheetId="0" refreshError="1"/>
      <sheetData sheetId="1" refreshError="1"/>
      <sheetData sheetId="2">
        <row r="51">
          <cell r="L51" t="str">
            <v>PLA</v>
          </cell>
        </row>
        <row r="52">
          <cell r="L52" t="str">
            <v>PBAT</v>
          </cell>
        </row>
        <row r="53">
          <cell r="L53" t="str">
            <v>PBS</v>
          </cell>
        </row>
        <row r="54">
          <cell r="L54" t="str">
            <v>PCL</v>
          </cell>
        </row>
        <row r="55">
          <cell r="L55" t="str">
            <v>AO_PBS</v>
          </cell>
        </row>
        <row r="56">
          <cell r="L56" t="str">
            <v>SLAB_PBSA</v>
          </cell>
        </row>
        <row r="57">
          <cell r="L57" t="str">
            <v>AB_PLA</v>
          </cell>
        </row>
        <row r="58">
          <cell r="L58" t="str">
            <v>PGA</v>
          </cell>
        </row>
        <row r="59">
          <cell r="L59" t="str">
            <v>PBSA</v>
          </cell>
        </row>
        <row r="60">
          <cell r="L60" t="str">
            <v>PBAT_compound</v>
          </cell>
        </row>
        <row r="61">
          <cell r="L61" t="str">
            <v>TPS</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film structure"/>
      <sheetName val="list for drop down menu"/>
    </sheetNames>
    <sheetDataSet>
      <sheetData sheetId="0"/>
      <sheetData sheetId="1">
        <row r="1">
          <cell r="A1" t="str">
            <v>17MIT</v>
          </cell>
        </row>
        <row r="2">
          <cell r="A2" t="str">
            <v>FD92</v>
          </cell>
        </row>
        <row r="3">
          <cell r="A3" t="str">
            <v>FZ91</v>
          </cell>
        </row>
        <row r="4">
          <cell r="A4" t="str">
            <v>B12</v>
          </cell>
        </row>
        <row r="5">
          <cell r="A5" t="str">
            <v>C2331</v>
          </cell>
        </row>
        <row r="6">
          <cell r="A6" t="str">
            <v>SL05</v>
          </cell>
        </row>
        <row r="7">
          <cell r="A7" t="str">
            <v>KAB</v>
          </cell>
        </row>
        <row r="8">
          <cell r="A8" t="str">
            <v>KS</v>
          </cell>
        </row>
        <row r="9">
          <cell r="A9" t="str">
            <v>MB14</v>
          </cell>
        </row>
        <row r="10">
          <cell r="A10" t="str">
            <v>Cell P</v>
          </cell>
        </row>
        <row r="11">
          <cell r="A11" t="str">
            <v>Cell M</v>
          </cell>
        </row>
        <row r="12">
          <cell r="A12" t="str">
            <v>Cell C</v>
          </cell>
        </row>
        <row r="13">
          <cell r="A13" t="str">
            <v>Epotal</v>
          </cell>
        </row>
        <row r="14">
          <cell r="A14">
            <v>8095</v>
          </cell>
        </row>
        <row r="15">
          <cell r="A15" t="str">
            <v>BTR</v>
          </cell>
        </row>
        <row r="16">
          <cell r="A16" t="str">
            <v>TPL18</v>
          </cell>
        </row>
        <row r="17">
          <cell r="A17" t="str">
            <v>TP20</v>
          </cell>
        </row>
        <row r="18">
          <cell r="A18">
            <v>4043</v>
          </cell>
        </row>
        <row r="19">
          <cell r="A19">
            <v>6800</v>
          </cell>
        </row>
        <row r="20">
          <cell r="A20" t="str">
            <v>MB13</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ichael Chervets" refreshedDate="46181.43791145834" createdVersion="8" refreshedVersion="8" minRefreshableVersion="3" recordCount="390" r:id="rId1">
  <cacheSource type="worksheet">
    <worksheetSource name="Table2"/>
  </cacheSource>
  <cacheFields count="4">
    <cacheField name="Film" uniqueList="1" numFmtId="0" sqlType="0" hierarchy="0" level="0" databaseField="1">
      <sharedItems count="10">
        <s v="PL202.1"/>
        <s v="PL202.2"/>
        <s v="PL202.3"/>
        <s v="TIPA 302FG"/>
        <s v="TIPA 302FG W"/>
        <s v="TIPA 306M"/>
        <s v="TIPA 306W"/>
        <s v="TIPA 312 MFG"/>
        <s v="TIPA 312MFGW"/>
        <s v=""/>
      </sharedItems>
    </cacheField>
    <cacheField name="Grade" uniqueList="1" numFmtId="43" sqlType="0" hierarchy="0" level="0" databaseField="1">
      <sharedItems count="9">
        <s v="FD92PM"/>
        <s v="LX175"/>
        <s v="S723"/>
        <s v="S724"/>
        <s v="KAB59A"/>
        <s v="BVE8049P"/>
        <s v="B12"/>
        <s v="RM WHITE BIO8153"/>
        <s v=""/>
      </sharedItems>
    </cacheField>
    <cacheField name="Serial Number" uniqueList="1" numFmtId="43" sqlType="0" hierarchy="0" level="0" databaseField="1">
      <sharedItems count="0"/>
    </cacheField>
    <cacheField name="Price Calculated(€) Thickness &amp; QTY related" uniqueList="1" numFmtId="4" sqlType="0" hierarchy="0" level="0" databaseField="1">
      <sharedItems count="0" containsMixedTypes="1" containsNumber="1" minValue="0.02265" maxValue="4.699"/>
    </cacheField>
  </cacheFields>
</pivotCacheDefinition>
</file>

<file path=xl/pivotCache/pivotCacheRecords1.xml><?xml version="1.0" encoding="utf-8"?>
<pivotCacheRecords xmlns="http://schemas.openxmlformats.org/spreadsheetml/2006/main" count="390">
  <r>
    <x v="0"/>
    <x v="0"/>
    <s v="RMPM2"/>
    <n v="3.25215"/>
  </r>
  <r>
    <x v="0"/>
    <x v="1"/>
    <s v="RMLX175"/>
    <n v="0.270084"/>
  </r>
  <r>
    <x v="0"/>
    <x v="2"/>
    <s v="RM TA45-08 S723"/>
    <n v="0.3232"/>
  </r>
  <r>
    <x v="0"/>
    <x v="3"/>
    <s v="RM TA45-08 S724"/>
    <n v="0.1764"/>
  </r>
  <r>
    <x v="0"/>
    <x v="4"/>
    <s v="RM A KAB59A"/>
    <n v="0.06794999999999998"/>
  </r>
  <r>
    <x v="0"/>
    <x v="5"/>
    <s v="BVE8049P"/>
    <n v="4.699"/>
  </r>
  <r>
    <x v="0"/>
    <x v="6"/>
    <s v="RMB12"/>
    <n v="0.207"/>
  </r>
  <r>
    <x v="1"/>
    <x v="1"/>
    <s v="RMLX175"/>
    <n v="1.50258"/>
  </r>
  <r>
    <x v="1"/>
    <x v="2"/>
    <s v="RM TA45-08 S723"/>
    <n v="0.3232"/>
  </r>
  <r>
    <x v="1"/>
    <x v="5"/>
    <s v="BVE8049P"/>
    <n v="4.699"/>
  </r>
  <r>
    <x v="1"/>
    <x v="6"/>
    <s v="RMB12"/>
    <n v="0.207"/>
  </r>
  <r>
    <x v="2"/>
    <x v="1"/>
    <s v="RMLX175"/>
    <n v="1.50258"/>
  </r>
  <r>
    <x v="2"/>
    <x v="2"/>
    <s v="RM TA45-08 S723"/>
    <n v="0.3232"/>
  </r>
  <r>
    <x v="2"/>
    <x v="5"/>
    <s v="BVE8049P"/>
    <n v="3.626"/>
  </r>
  <r>
    <x v="2"/>
    <x v="6"/>
    <s v="RMB12"/>
    <n v="0.294"/>
  </r>
  <r>
    <x v="3"/>
    <x v="0"/>
    <s v="RMPM2"/>
    <n v="2.2194"/>
  </r>
  <r>
    <x v="3"/>
    <x v="1"/>
    <s v="RMLX175"/>
    <n v="0.182592"/>
  </r>
  <r>
    <x v="3"/>
    <x v="4"/>
    <s v="RM A KAB59A"/>
    <n v="0.0453"/>
  </r>
  <r>
    <x v="3"/>
    <x v="2"/>
    <s v="RM TA45-08 S723"/>
    <n v="0.2424"/>
  </r>
  <r>
    <x v="3"/>
    <x v="6"/>
    <s v="RMB12"/>
    <n v="0.8865"/>
  </r>
  <r>
    <x v="3"/>
    <x v="3"/>
    <s v="RM TA45-08 S724"/>
    <n v="0.02352"/>
  </r>
  <r>
    <x v="4"/>
    <x v="0"/>
    <s v="RMPM2"/>
    <n v="2.187"/>
  </r>
  <r>
    <x v="4"/>
    <x v="1"/>
    <s v="RMLX175"/>
    <n v="0.182592"/>
  </r>
  <r>
    <x v="4"/>
    <x v="4"/>
    <s v="RM A KAB59A"/>
    <n v="0.0453"/>
  </r>
  <r>
    <x v="4"/>
    <x v="2"/>
    <s v="RM TA45-08 S723"/>
    <n v="0.2424"/>
  </r>
  <r>
    <x v="4"/>
    <x v="3"/>
    <s v="RM TA45-08 S724"/>
    <n v="0.09408"/>
  </r>
  <r>
    <x v="4"/>
    <x v="7"/>
    <s v="RM WHITE BIO8153"/>
    <n v="0.369"/>
  </r>
  <r>
    <x v="4"/>
    <x v="6"/>
    <s v="RMB12"/>
    <n v="0.7964999999999999"/>
  </r>
  <r>
    <x v="5"/>
    <x v="1"/>
    <s v="RMLX175"/>
    <n v="2.106148"/>
  </r>
  <r>
    <x v="5"/>
    <x v="2"/>
    <s v="RM TA45-08 S723"/>
    <n v="0.2424"/>
  </r>
  <r>
    <x v="5"/>
    <x v="0"/>
    <s v="RMPM2"/>
    <n v="1.0908"/>
  </r>
  <r>
    <x v="5"/>
    <x v="4"/>
    <s v="RM A KAB59A"/>
    <n v="0.02265"/>
  </r>
  <r>
    <x v="5"/>
    <x v="3"/>
    <s v="RM TA45-08 S724"/>
    <n v="0.0588"/>
  </r>
  <r>
    <x v="6"/>
    <x v="1"/>
    <s v="RMLX175"/>
    <n v="1.940674"/>
  </r>
  <r>
    <x v="6"/>
    <x v="2"/>
    <s v="RM TA45-08 S723"/>
    <n v="0.2424"/>
  </r>
  <r>
    <x v="6"/>
    <x v="4"/>
    <s v="RM A KAB59A"/>
    <n v="0.0453"/>
  </r>
  <r>
    <x v="6"/>
    <x v="3"/>
    <s v="RM TA45-08 S724"/>
    <n v="0.1176"/>
  </r>
  <r>
    <x v="6"/>
    <x v="7"/>
    <s v="RM WHITE BIO8153"/>
    <n v="0.369"/>
  </r>
  <r>
    <x v="6"/>
    <x v="0"/>
    <s v="RMPM2"/>
    <n v="1.0908"/>
  </r>
  <r>
    <x v="7"/>
    <x v="1"/>
    <s v="RMLX175"/>
    <n v="0.594058"/>
  </r>
  <r>
    <x v="7"/>
    <x v="2"/>
    <s v="RM TA45-08 S723"/>
    <n v="0.2424"/>
  </r>
  <r>
    <x v="7"/>
    <x v="6"/>
    <s v="RMB12"/>
    <n v="0.8865"/>
  </r>
  <r>
    <x v="7"/>
    <x v="0"/>
    <s v="RMPM2"/>
    <n v="1.08675"/>
  </r>
  <r>
    <x v="7"/>
    <x v="4"/>
    <s v="RM A KAB59A"/>
    <n v="0.02265"/>
  </r>
  <r>
    <x v="7"/>
    <x v="3"/>
    <s v="RM TA45-08 S724"/>
    <n v="0.06762"/>
  </r>
  <r>
    <x v="8"/>
    <x v="1"/>
    <s v="RMLX175"/>
    <n v="0.594058"/>
  </r>
  <r>
    <x v="8"/>
    <x v="2"/>
    <s v="RM TA45-08 S723"/>
    <n v="0.2424"/>
  </r>
  <r>
    <x v="8"/>
    <x v="7"/>
    <s v="RM WHITE BIO8153"/>
    <n v="0.369"/>
  </r>
  <r>
    <x v="8"/>
    <x v="6"/>
    <s v="RMB12"/>
    <n v="0.7964999999999999"/>
  </r>
  <r>
    <x v="8"/>
    <x v="0"/>
    <s v="RMPM2"/>
    <n v="1.08675"/>
  </r>
  <r>
    <x v="8"/>
    <x v="4"/>
    <s v="RM A KAB59A"/>
    <n v="0.02265"/>
  </r>
  <r>
    <x v="8"/>
    <x v="3"/>
    <s v="RM TA45-08 S724"/>
    <n v="0.06762"/>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6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3:C16" firstHeaderRow="1" firstDataRow="1" firstDataCol="2"/>
  <pivotFields count="4">
    <pivotField axis="axisRow" showDropDowns="1" compact="0" outline="0" subtotalTop="1" dragToRow="1" dragToCol="1" dragToPage="1" dragToData="1" dragOff="1" showAll="0" topAutoShow="1" itemPageCount="10" sortType="manual" defaultSubtotal="0">
      <items count="10">
        <item t="data" h="1" sd="1" x="9"/>
        <item t="data" h="1" sd="1" x="0"/>
        <item t="data" h="1" sd="1" x="1"/>
        <item t="data" h="1" sd="1" x="2"/>
        <item t="data" sd="1" x="3"/>
        <item t="data" sd="1" x="4"/>
        <item t="data" sd="1" x="5"/>
        <item t="data" sd="1" x="6"/>
        <item t="data" sd="1" x="7"/>
        <item t="data" sd="1" x="8"/>
      </items>
    </pivotField>
    <pivotField axis="axisRow" showDropDowns="1" compact="0" outline="0" subtotalTop="1" dragToRow="1" dragToCol="1" dragToPage="1" dragToData="1" dragOff="1" showAll="0" topAutoShow="1" itemPageCount="10" sortType="manual" defaultSubtotal="1">
      <items count="10">
        <item t="data" h="1" sd="1" x="8"/>
        <item t="data" h="1" sd="1" x="6"/>
        <item t="data" h="1" sd="1" x="5"/>
        <item t="data" h="1" sd="1" x="0"/>
        <item t="data" h="1" sd="1" x="4"/>
        <item t="data" h="1" sd="1" x="1"/>
        <item t="data" h="1" sd="1" x="7"/>
        <item t="data" sd="1" x="2"/>
        <item t="data" sd="1" x="3"/>
        <item t="default" sd="1"/>
      </items>
    </pivotField>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s>
  <rowFields count="2">
    <field x="0"/>
    <field x="1"/>
  </rowFields>
  <rowItems count="13">
    <i t="data" r="0" i="0">
      <x v="4"/>
      <x v="7"/>
    </i>
    <i t="data" r="1" i="0">
      <x v="8"/>
    </i>
    <i t="data" r="0" i="0">
      <x v="5"/>
      <x v="7"/>
    </i>
    <i t="data" r="1" i="0">
      <x v="8"/>
    </i>
    <i t="data" r="0" i="0">
      <x v="6"/>
      <x v="7"/>
    </i>
    <i t="data" r="1" i="0">
      <x v="8"/>
    </i>
    <i t="data" r="0" i="0">
      <x v="7"/>
      <x v="7"/>
    </i>
    <i t="data" r="1" i="0">
      <x v="8"/>
    </i>
    <i t="data" r="0" i="0">
      <x v="8"/>
      <x v="7"/>
    </i>
    <i t="data" r="1" i="0">
      <x v="8"/>
    </i>
    <i t="data" r="0" i="0">
      <x v="9"/>
      <x v="7"/>
    </i>
    <i t="data" r="1" i="0">
      <x v="8"/>
    </i>
    <i t="grand" r="0" i="0">
      <x v="0"/>
    </i>
  </rowItems>
  <colItems count="1">
    <i t="data" r="0" i="0"/>
  </colItems>
  <dataFields count="1">
    <dataField name="Sum of Price Calculated(€) Thickness &amp; QTY related" fld="3" subtotal="sum" showDataAs="normal" baseField="1" baseItem="8" numFmtId="171"/>
  </dataFields>
  <formats count="1">
    <format action="formatting" dxfId="57">
      <pivotArea type="normal" dataOnly="1" outline="0" collapsedLevelsAreSubtotals="1"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2" displayName="Table2" ref="L1:O391" headerRowCount="1" totalsRowShown="0" headerRowDxfId="56" dataDxfId="54" headerRowBorderDxfId="55" headerRowCellStyle="Comma" dataCellStyle="Comma">
  <autoFilter ref="L1:O391"/>
  <tableColumns count="4">
    <tableColumn id="1" name="Film" dataDxfId="53">
      <calculatedColumnFormula>A2</calculatedColumnFormula>
    </tableColumn>
    <tableColumn id="2" name="Grade" dataDxfId="52" dataCellStyle="Comma"/>
    <tableColumn id="3" name="Serial Number" dataDxfId="51" dataCellStyle="Comma">
      <calculatedColumnFormula>IFERROR(VLOOKUP(M2,HELPER!$B$1:$D$32,2,0)," ")</calculatedColumnFormula>
    </tableColumn>
    <tableColumn id="4" name="Price Calculated(€) Thickness &amp; QTY related" dataDxfId="50" dataCellStyle="Comma">
      <calculatedColumnFormula>IFERROR(SUMIFS($J:$J,$A:$A,L2,$D:$D,M2,$F:$F,N2),"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Q1:S50" headerRowCount="1" totalsRowShown="0" headerRowDxfId="49" dataDxfId="47" headerRowBorderDxfId="48">
  <autoFilter ref="Q1:S50"/>
  <tableColumns count="3">
    <tableColumn id="1" name="Film" dataDxfId="46">
      <calculatedColumnFormula array="1">IFERROR(INDEX($L$2:$L$391,MATCH(0,COUNTIF($Q$1:Q1,$L$2:$L$391)+IF($L$2:$L$391="",1,0),0)),"")</calculatedColumnFormula>
    </tableColumn>
    <tableColumn id="2" name="Price (€/kg)" dataDxfId="45">
      <calculatedColumnFormula>IF(Q2="","",SUMIF($L$2:$L$391,Q2,$O$2:$O$391))</calculatedColumnFormula>
    </tableColumn>
    <tableColumn id="3" name="Price ($/kg)" dataDxfId="44">
      <calculatedColumnFormula>IFERROR(Table3[[#This Row],[Price (€/kg)]]*HELPER!$AK$2," ")</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3" name="Table4" displayName="Table4" ref="A1:J391" headerRowCount="1" totalsRowShown="0" headerRowDxfId="43" dataDxfId="41" headerRowBorderDxfId="42" tableBorderDxfId="40" headerRowCellStyle="Comma">
  <autoFilter ref="A1:J391">
    <filterColumn colId="0" hiddenButton="0" showButton="1">
      <filters>
        <filter val="TIPA 302FG"/>
      </filters>
    </filterColumn>
  </autoFilter>
  <tableColumns count="10">
    <tableColumn id="1" name="Film" dataDxfId="39"/>
    <tableColumn id="2" name="Ext" dataDxfId="38"/>
    <tableColumn id="3" name="Material" dataDxfId="37" dataCellStyle="Comma"/>
    <tableColumn id="4" name="Grade" dataDxfId="36" dataCellStyle="Comma">
      <calculatedColumnFormula>IF(C2="","",IFERROR(_xlfn.XLOOKUP(C2,HELPER!$A$2:$A$76,HELPER!$B$2:$B$76,""),D2))</calculatedColumnFormula>
    </tableColumn>
    <tableColumn id="5" name="Serial Number" dataDxfId="35" dataCellStyle="Comma">
      <calculatedColumnFormula>IFERROR(_xlfn.XLOOKUP(D2,HELPER!$B:$B,HELPER!$C:$C,""),"")</calculatedColumnFormula>
    </tableColumn>
    <tableColumn id="6" name="Resin" dataDxfId="34" dataCellStyle="Comma">
      <calculatedColumnFormula>IFERROR(_xlfn.XLOOKUP(D2,HELPER!$B:$B,HELPER!$D:$D,""),"")</calculatedColumnFormula>
    </tableColumn>
    <tableColumn id="7" name="Thickness (µ)" dataDxfId="33" dataCellStyle="Comma"/>
    <tableColumn id="8" name="QTY" dataDxfId="32" dataCellStyle="Percent"/>
    <tableColumn id="9" name="Price (€/kg)" dataDxfId="31" dataCellStyle="Comma">
      <calculatedColumnFormula>IF(AND(H2&lt;&gt;"",IFERROR(_xlfn.XLOOKUP(D2,HELPER!$B:$B,HELPER!$E:$E,""),"")=""),"Missing price",IFERROR(_xlfn.XLOOKUP(D2,HELPER!$B:$B,HELPER!$E:$E,"")," "))</calculatedColumnFormula>
    </tableColumn>
    <tableColumn id="10" name="Price Calculated(€) Thickness &amp; QTY related" dataDxfId="30" dataCellStyle="Comma">
      <calculatedColumnFormula>IFERROR(H2*(IF(G2=8,I2*HELPER!$G$2,BOM!I2*HELPER!$G$3))," ")</calculatedColumnFormula>
    </tableColumn>
  </tableColumns>
  <tableStyleInfo name="TableStyleLight1" showFirstColumn="0" showLastColumn="0" showRowStripes="1" showColumnStripes="0"/>
</table>
</file>

<file path=xl/tables/table4.xml><?xml version="1.0" encoding="utf-8"?>
<table xmlns="http://schemas.openxmlformats.org/spreadsheetml/2006/main" id="4" name="Table1" displayName="Table1" ref="A2:Z8" headerRowCount="1" totalsRowShown="0" headerRowDxfId="111" dataDxfId="110" headerRowCellStyle="Comma">
  <autoFilter ref="A2:Z8"/>
  <tableColumns count="26">
    <tableColumn id="1" name="Film Type" dataDxfId="109" totalsRowDxfId="108" dataCellStyle="Comma" totalsRowCellStyle="Comma"/>
    <tableColumn id="2" name="Width (mm)" dataDxfId="107" totalsRowDxfId="106" dataCellStyle="Comma" totalsRowCellStyle="Comma"/>
    <tableColumn id="3" name="Thickness (µ)" dataDxfId="105" totalsRowDxfId="104" dataCellStyle="Comma" totalsRowCellStyle="Comma"/>
    <tableColumn id="4" name="Density" dataDxfId="103" totalsRowDxfId="102" dataCellStyle="Comma" totalsRowCellStyle="Comma"/>
    <tableColumn id="5" name="Weight (Kg)" dataDxfId="101" totalsRowDxfId="100" dataCellStyle="Comma" totalsRowCellStyle="Comma">
      <calculatedColumnFormula>IF(OR(A3="",A3="-"),"",IF(AND(G3&lt;&gt;"",H3&lt;&gt;""),G3*H3,""))</calculatedColumnFormula>
    </tableColumn>
    <tableColumn id="6" name="Weight Override" dataDxfId="99" totalsRowDxfId="98" dataCellStyle="Comma" totalsRowCellStyle="Comma"/>
    <tableColumn id="7" name="Length (Mr)" dataDxfId="97" totalsRowDxfId="96" totalsRowCellStyle="Comma">
      <calculatedColumnFormula>AS5</calculatedColumnFormula>
    </tableColumn>
    <tableColumn id="8" name="Total KG in one Meter" dataDxfId="95" totalsRowDxfId="94" dataCellStyle="Comma" totalsRowCellStyle="Comma">
      <calculatedColumnFormula>IF(OR(A3="",A3="-"),"",IF(AND(B3&lt;&gt;"",C3&lt;&gt;"",D3&lt;&gt;""),D3*(C3/1000)*(B3/1000),""))</calculatedColumnFormula>
    </tableColumn>
    <tableColumn id="9" name="Total Kg Produced" dataDxfId="93" totalsRowDxfId="92" dataCellStyle="Comma" totalsRowCellStyle="Comma">
      <calculatedColumnFormula>IF(OR(A3="",A3="-"),"",IF(F3&lt;&gt;"",F3,IF(AND(G3&lt;&gt;"",H3&lt;&gt;""),G3*H3,"")))</calculatedColumnFormula>
    </tableColumn>
    <tableColumn id="10" name="Hourly rate" dataDxfId="91" totalsRowDxfId="90"/>
    <tableColumn id="11" name="1Kg production cost" dataDxfId="89" totalsRowDxfId="88">
      <calculatedColumnFormula>IF(OR(F3&lt;&gt;"",I3&lt;&gt;""),J3/IF(F3&lt;&gt;"",F3,I3)+0.2,"")</calculatedColumnFormula>
    </tableColumn>
    <tableColumn id="12" name="RM cost in 1 Kg" dataDxfId="87" totalsRowDxfId="86" dataCellStyle="Comma" totalsRowCellStyle="Comma">
      <calculatedColumnFormula>IFERROR(VLOOKUP(A3,BOM!$Q$2:$R$50,2,FALSE),0)</calculatedColumnFormula>
    </tableColumn>
    <tableColumn id="13" name="Total RM and Production" dataDxfId="85" totalsRowDxfId="84">
      <calculatedColumnFormula>IFERROR((L3+K3),0)</calculatedColumnFormula>
    </tableColumn>
    <tableColumn id="14" name="Depreciation" dataDxfId="83" totalsRowDxfId="82" dataCellStyle="Percent" totalsRowCellStyle="Percent">
      <calculatedColumnFormula>IF(OR(I3="",I3=0),"",VLOOKUP(I3,HELPER!$AM$2:$AN$6,2,TRUE))</calculatedColumnFormula>
    </tableColumn>
    <tableColumn id="15" name="Total Cost and depreciation" dataDxfId="81" totalsRowDxfId="80">
      <calculatedColumnFormula>IF(AND(M3&lt;&gt;"",N3&lt;&gt;""),M3*(1+N3),"")</calculatedColumnFormula>
    </tableColumn>
    <tableColumn id="23" name="Thickness waste" dataDxfId="79" totalsRowDxfId="78">
      <calculatedColumnFormula>IF(AND(Table1[[#This Row],[Thickness (µ)]]&lt;&gt;"",Table1[[#This Row],[RM cost in 1 Kg]]&lt;&gt;""), VLOOKUP(Table1[[#This Row],[Thickness (µ)]], HELPER!$BH$3:$BI$5, 2, TRUE) * Table1[[#This Row],[RM cost in 1 Kg]], "")</calculatedColumnFormula>
    </tableColumn>
    <tableColumn id="16" name="Other costs" dataDxfId="77" totalsRowDxfId="76" dataCellStyle="Percent" totalsRowCellStyle="Percent"/>
    <tableColumn id="24" name="Supplier" dataDxfId="75" totalsRowDxfId="74" dataCellStyle="Percent" totalsRowCellStyle="Percent">
      <calculatedColumnFormula>$AG$14</calculatedColumnFormula>
    </tableColumn>
    <tableColumn id="25" name="Printing" dataDxfId="73" totalsRowDxfId="72" dataCellStyle="Percent" totalsRowCellStyle="Percent"/>
    <tableColumn id="26" name="Printing Waste" dataDxfId="71" totalsRowDxfId="70" dataCellStyle="Percent" totalsRowCellStyle="Percent">
      <calculatedColumnFormula>IF(AW7="Printed",L3*0.028,0)</calculatedColumnFormula>
    </tableColumn>
    <tableColumn id="17" name="Setup" dataDxfId="69" totalsRowDxfId="68">
      <calculatedColumnFormula>IF(Table1[[#This Row],[RM cost in 1 Kg]]&gt;0,((1500+3000)/30000),0)</calculatedColumnFormula>
    </tableColumn>
    <tableColumn id="18" name="Shiping Destination" dataDxfId="67" totalsRowDxfId="66" dataCellStyle="60% - Accent1" totalsRowCellStyle="60% - Accent1"/>
    <tableColumn id="19" name="Shiping cost" dataDxfId="65" totalsRowDxfId="64" dataCellStyle="60% - Accent1" totalsRowCellStyle="60% - Accent1">
      <calculatedColumnFormula>IFERROR(IF(V3="Europe to Canada",IF(I3&lt;1000,(I3/1000)*VLOOKUP(1000,HELPER!$AG$4:$AH$8,2,FALSE)/I3,VLOOKUP(I3,HELPER!$AG$4:$AH$8,2,TRUE)/I3),VLOOKUP(V3,HELPER!$AF$2:$AH$3,3,FALSE)),0)</calculatedColumnFormula>
    </tableColumn>
    <tableColumn id="20" name="Total Cost" dataDxfId="63" totalsRowDxfId="62" dataCellStyle="60% - Accent1" totalsRowCellStyle="60% - Accent1">
      <calculatedColumnFormula>IFERROR((Table1[[#This Row],[Total Cost and depreciation]]+Table1[[#This Row],[Thickness waste]]+Table1[[#This Row],[Other costs]]+Table1[[#This Row],[Setup]]+Table1[[#This Row],[Shiping cost]]+Table1[[#This Row],[Printing Waste]]+(Table1[[#This Row],[Printing]]*Table1[[#This Row],[Length (Mr)]]/Table1[[#This Row],[Weight Override]])),0)</calculatedColumnFormula>
    </tableColumn>
    <tableColumn id="21" name="Margin" dataDxfId="61" totalsRowDxfId="60">
      <calculatedColumnFormula>Table1[[#This Row],[Total Cost]]*($W$1)</calculatedColumnFormula>
    </tableColumn>
    <tableColumn id="22" name="Sell Price" dataDxfId="59" totalsRowDxfId="58" dataCellStyle="60% - Accent1" totalsRowCellStyle="60% - Accent1">
      <calculatedColumnFormula>Table1[[#This Row],[Total Cost]]+Table1[[#This Row],[Margin]]</calculatedColumnFormula>
    </tableColumn>
  </tableColumns>
  <tableStyleInfo name="TableStyleLight16" showFirstColumn="0" showLastColumn="0" showRowStripes="1" showColumnStripes="0"/>
</table>
</file>

<file path=xl/tables/table5.xml><?xml version="1.0" encoding="utf-8"?>
<table xmlns="http://schemas.openxmlformats.org/spreadsheetml/2006/main" id="5" name="Table6" displayName="Table6" ref="A4:AD14" headerRowCount="1" totalsRowShown="0" headerRowDxfId="29" tableBorderDxfId="28" headerRowCellStyle="Comma">
  <autoFilter ref="A4:AD14"/>
  <tableColumns count="30">
    <tableColumn id="1" name="Bag Type"/>
    <tableColumn id="2" name="Film Type"/>
    <tableColumn id="3" name="Bags amount" dataDxfId="27" dataCellStyle="Comma"/>
    <tableColumn id="4" name="Height (mm)"/>
    <tableColumn id="5" name="Repeat = Width (mm)"/>
    <tableColumn id="6" name="Flap"/>
    <tableColumn id="7" name="Bottom Gusset"/>
    <tableColumn id="8" name="Film"/>
    <tableColumn id="9" name="Cast/ Blown"/>
    <tableColumn id="10" name="PR/ Non PR"/>
    <tableColumn id="11" name="Number of colors"/>
    <tableColumn id="12" name="Total film Width (mm)" dataDxfId="26">
      <calculatedColumnFormula>IFERROR(IF(OR(D5=HELPER!Q4,D5=HELPER!$Q$5),D5*2+F5+G5*2,D5*2+G5*2)," ")</calculatedColumnFormula>
    </tableColumn>
    <tableColumn id="13" name="Thickness (µ)"/>
    <tableColumn id="14" name="Bag's Weight (kg)" dataDxfId="25">
      <calculatedColumnFormula>(E5/1000)*(L5/1000)*(M5/1000)*1.25</calculatedColumnFormula>
    </tableColumn>
    <tableColumn id="15" name="Bag's Weight + Fall out (kg)" dataDxfId="24">
      <calculatedColumnFormula>N5*(1+X5)</calculatedColumnFormula>
    </tableColumn>
    <tableColumn id="16" name="Raw material cost (per kg)">
      <calculatedColumnFormula>IFERROR(VLOOKUP(B5,BOM!$Q$1:$R$12,2,FALSE),"")</calculatedColumnFormula>
    </tableColumn>
    <tableColumn id="17" name="Shipment Destination"/>
    <tableColumn id="18" name="Shipment costs" dataDxfId="23">
      <calculatedColumnFormula>IFERROR(IF(Q5="Europe to Canada",IF(C5*O5&lt;1000,(C5*O5/1000)*VLOOKUP(1000,HELPER!$AG$4:$AH$8,2,FALSE)/(C5*O5),VLOOKUP(C5*O5,HELPER!$AG$4:$AH$8,2,TRUE)/(C5*O5)),VLOOKUP(Q5,HELPER!$AF$2:$AH$3,3,FALSE)),0)</calculatedColumnFormula>
    </tableColumn>
    <tableColumn id="19" name="Raw material cost per bag" dataDxfId="22">
      <calculatedColumnFormula>IFERROR(Table6[[#This Row],[Bag''s Weight + Fall out (kg)]]*(Table6[[#This Row],[Raw material cost (per kg)]]+Table6[[#This Row],[Shipment costs]])," ")</calculatedColumnFormula>
    </tableColumn>
    <tableColumn id="20" name="Length (m)"/>
    <tableColumn id="21" name="Set up waste"/>
    <tableColumn id="22" name="Print waste"/>
    <tableColumn id="23" name="Zipper waste" dataDxfId="21" dataCellStyle="Percent">
      <calculatedColumnFormula>IFERROR((0.05+SUM(U5,V5)/T5)," ")</calculatedColumnFormula>
    </tableColumn>
    <tableColumn id="24" name="Total waste"/>
    <tableColumn id="25" name="Converting cost" dataDxfId="20">
      <calculatedColumnFormula>IF(OR(C5="",C5=0),"",((D5*E5)/1000000)*0.175*VLOOKUP(C5,HELPER!$AS$3:$AT$7,2,TRUE)*1.2*1.15*IF((D5+E5)*2&gt;=1200,1.5,1))</calculatedColumnFormula>
    </tableColumn>
    <tableColumn id="30" name="Converting cost - Manual alternative" dataDxfId="19"/>
    <tableColumn id="26" name="Zipper" dataDxfId="18" dataCellStyle="Comma">
      <calculatedColumnFormula>IF(A5=HELPER!$Q$2,HELPER!$AD$2,0)</calculatedColumnFormula>
    </tableColumn>
    <tableColumn id="27" name="Total cost" dataDxfId="17" dataCellStyle="Comma">
      <calculatedColumnFormula>IFERROR((P5+U5+V5+W5+X5+IF(Z5&lt;&gt;"",Z5,Y5)+AA5),0)</calculatedColumnFormula>
    </tableColumn>
    <tableColumn id="28" name="Price for customer" dataDxfId="16" dataCellStyle="60% - Accent1">
      <calculatedColumnFormula>IFERROR(AB5/(1-$AC$2)," ")</calculatedColumnFormula>
    </tableColumn>
    <tableColumn id="29" name="Profit"/>
  </tableColumns>
  <tableStyleInfo name="TableStyleMedium23" showFirstColumn="0" showLastColumn="0" showRowStripes="1" showColumnStripes="0"/>
</table>
</file>

<file path=xl/tables/table6.xml><?xml version="1.0" encoding="utf-8"?>
<table xmlns="http://schemas.openxmlformats.org/spreadsheetml/2006/main" id="6" name="Table5" displayName="Table5" ref="A1:E32" headerRowCount="1" totalsRowShown="0" headerRowDxfId="15" dataDxfId="13" headerRowBorderDxfId="14" tableBorderDxfId="12" headerRowCellStyle="Normal 4">
  <autoFilter ref="A1:E32"/>
  <tableColumns count="5">
    <tableColumn id="1" name="Material" dataDxfId="11"/>
    <tableColumn id="2" name="Grade" dataDxfId="10"/>
    <tableColumn id="3" name="Serial Number" dataDxfId="9"/>
    <tableColumn id="4" name="Resin" dataDxfId="8"/>
    <tableColumn id="5" name="Price (€/kg)"/>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filterMode="1">
    <outlinePr summaryBelow="1" summaryRight="1"/>
    <pageSetUpPr/>
  </sheetPr>
  <dimension ref="A3:C44"/>
  <sheetViews>
    <sheetView topLeftCell="A4" workbookViewId="0">
      <selection activeCell="I17" sqref="F15:I17"/>
    </sheetView>
  </sheetViews>
  <sheetFormatPr baseColWidth="8" defaultRowHeight="15"/>
  <cols>
    <col width="21.28515625" bestFit="1" customWidth="1" style="430" min="1" max="1"/>
    <col width="8.7109375" bestFit="1" customWidth="1" style="430" min="2" max="2"/>
    <col width="48.140625" bestFit="1" customWidth="1" style="430" min="3" max="3"/>
  </cols>
  <sheetData>
    <row r="3">
      <c r="A3" s="137" t="inlineStr">
        <is>
          <t>Film</t>
        </is>
      </c>
      <c r="B3" s="137" t="inlineStr">
        <is>
          <t>Grade</t>
        </is>
      </c>
      <c r="C3" t="inlineStr">
        <is>
          <t>Sum of Price Calculated(€) Thickness &amp; QTY related</t>
        </is>
      </c>
    </row>
    <row r="4">
      <c r="A4" t="inlineStr">
        <is>
          <t>TIPA 302FG</t>
        </is>
      </c>
      <c r="B4" t="inlineStr">
        <is>
          <t>S723</t>
        </is>
      </c>
      <c r="C4" s="518" t="n">
        <v>0.2424</v>
      </c>
    </row>
    <row r="5">
      <c r="B5" t="inlineStr">
        <is>
          <t>S724</t>
        </is>
      </c>
      <c r="C5" s="518" t="n">
        <v>0.02352</v>
      </c>
    </row>
    <row r="6">
      <c r="A6" t="inlineStr">
        <is>
          <t>TIPA 302FG W</t>
        </is>
      </c>
      <c r="B6" t="inlineStr">
        <is>
          <t>S723</t>
        </is>
      </c>
      <c r="C6" s="518" t="n">
        <v>0.2424</v>
      </c>
    </row>
    <row r="7">
      <c r="B7" t="inlineStr">
        <is>
          <t>S724</t>
        </is>
      </c>
      <c r="C7" s="518" t="n">
        <v>0.09408</v>
      </c>
    </row>
    <row r="8">
      <c r="A8" t="inlineStr">
        <is>
          <t>TIPA 306M</t>
        </is>
      </c>
      <c r="B8" t="inlineStr">
        <is>
          <t>S723</t>
        </is>
      </c>
      <c r="C8" s="518" t="n">
        <v>0.2424</v>
      </c>
    </row>
    <row r="9">
      <c r="B9" t="inlineStr">
        <is>
          <t>S724</t>
        </is>
      </c>
      <c r="C9" s="518" t="n">
        <v>0.0588</v>
      </c>
    </row>
    <row r="10">
      <c r="A10" t="inlineStr">
        <is>
          <t>TIPA 306W</t>
        </is>
      </c>
      <c r="B10" t="inlineStr">
        <is>
          <t>S723</t>
        </is>
      </c>
      <c r="C10" s="518" t="n">
        <v>0.2424</v>
      </c>
    </row>
    <row r="11">
      <c r="B11" t="inlineStr">
        <is>
          <t>S724</t>
        </is>
      </c>
      <c r="C11" s="518" t="n">
        <v>0.1176</v>
      </c>
    </row>
    <row r="12">
      <c r="A12" t="inlineStr">
        <is>
          <t>TIPA 312 MFG</t>
        </is>
      </c>
      <c r="B12" t="inlineStr">
        <is>
          <t>S723</t>
        </is>
      </c>
      <c r="C12" s="518" t="n">
        <v>0.2424</v>
      </c>
    </row>
    <row r="13">
      <c r="B13" t="inlineStr">
        <is>
          <t>S724</t>
        </is>
      </c>
      <c r="C13" s="518" t="n">
        <v>0.06762</v>
      </c>
    </row>
    <row r="14">
      <c r="A14" t="inlineStr">
        <is>
          <t>TIPA 312MFGW</t>
        </is>
      </c>
      <c r="B14" t="inlineStr">
        <is>
          <t>S723</t>
        </is>
      </c>
      <c r="C14" s="518" t="n">
        <v>0.2424</v>
      </c>
    </row>
    <row r="15">
      <c r="B15" t="inlineStr">
        <is>
          <t>S724</t>
        </is>
      </c>
      <c r="C15" s="518" t="n">
        <v>0.06762</v>
      </c>
    </row>
    <row r="16">
      <c r="A16" t="inlineStr">
        <is>
          <t>Grand Total</t>
        </is>
      </c>
      <c r="C16" s="518" t="n">
        <v>1.88364</v>
      </c>
    </row>
    <row r="20" ht="15.75" customHeight="1" s="430" thickBot="1">
      <c r="A20" s="139" t="inlineStr">
        <is>
          <t>Film</t>
        </is>
      </c>
      <c r="B20" s="140" t="inlineStr">
        <is>
          <t>Price (€/kg)</t>
        </is>
      </c>
      <c r="C20" s="109" t="inlineStr">
        <is>
          <t>Price ($/kg)</t>
        </is>
      </c>
    </row>
    <row r="21" hidden="1" ht="15.75" customHeight="1" s="430" thickTop="1">
      <c r="A21" s="141" t="inlineStr">
        <is>
          <t>PL202.1</t>
        </is>
      </c>
      <c r="B21" s="519" t="n">
        <v>8.995784</v>
      </c>
      <c r="C21" s="520" t="n">
        <v>10.43510944</v>
      </c>
    </row>
    <row r="22" hidden="1" ht="15.75" customHeight="1" s="430" thickTop="1">
      <c r="A22" s="144" t="inlineStr">
        <is>
          <t>PL202.2</t>
        </is>
      </c>
      <c r="B22" s="521" t="n">
        <v>6.73178</v>
      </c>
      <c r="C22" s="522" t="n">
        <v>7.808864799999999</v>
      </c>
    </row>
    <row r="23" hidden="1" ht="15.75" customHeight="1" s="430" thickTop="1">
      <c r="A23" s="141" t="inlineStr">
        <is>
          <t>PL202.3</t>
        </is>
      </c>
      <c r="B23" s="519" t="n">
        <v>5.74578</v>
      </c>
      <c r="C23" s="520" t="n">
        <v>6.665104799999999</v>
      </c>
    </row>
    <row r="24" ht="15.75" customHeight="1" s="430" thickTop="1">
      <c r="A24" s="144" t="inlineStr">
        <is>
          <t>TIPA 302FG</t>
        </is>
      </c>
      <c r="B24" s="521" t="n">
        <v>3.599712</v>
      </c>
      <c r="C24" s="522" t="n">
        <v>4.17566592</v>
      </c>
    </row>
    <row r="25">
      <c r="A25" s="141" t="inlineStr">
        <is>
          <t>TIPA 302FG W</t>
        </is>
      </c>
      <c r="B25" s="519" t="n">
        <v>3.916872000000001</v>
      </c>
      <c r="C25" s="520" t="n">
        <v>4.54357152</v>
      </c>
    </row>
    <row r="26">
      <c r="A26" s="144" t="inlineStr">
        <is>
          <t>TIPA 306M</t>
        </is>
      </c>
      <c r="B26" s="521" t="n">
        <v>3.520798000000001</v>
      </c>
      <c r="C26" s="522" t="n">
        <v>4.084125680000001</v>
      </c>
    </row>
    <row r="27">
      <c r="A27" s="141" t="inlineStr">
        <is>
          <t>TIPA 306W</t>
        </is>
      </c>
      <c r="B27" s="519" t="n">
        <v>3.805774</v>
      </c>
      <c r="C27" s="520" t="n">
        <v>4.41469784</v>
      </c>
    </row>
    <row r="28">
      <c r="A28" s="144" t="inlineStr">
        <is>
          <t>TIPA 312 MFG</t>
        </is>
      </c>
      <c r="B28" s="521" t="n">
        <v>2.899978</v>
      </c>
      <c r="C28" s="522" t="n">
        <v>3.363974479999999</v>
      </c>
    </row>
    <row r="29">
      <c r="A29" s="141" t="inlineStr">
        <is>
          <t>TIPA 312MFGW</t>
        </is>
      </c>
      <c r="B29" s="519" t="n">
        <v>3.178977999999999</v>
      </c>
      <c r="C29" s="520" t="n">
        <v>3.687614479999999</v>
      </c>
    </row>
    <row r="32" ht="15.75" customHeight="1" s="430" thickBot="1">
      <c r="A32" s="149" t="inlineStr">
        <is>
          <t>FILM</t>
        </is>
      </c>
      <c r="B32" s="149" t="inlineStr">
        <is>
          <t>Material</t>
        </is>
      </c>
      <c r="C32" s="149" t="inlineStr">
        <is>
          <t>% from Total</t>
        </is>
      </c>
    </row>
    <row r="33" ht="15.75" customHeight="1" s="430" thickTop="1">
      <c r="A33" s="444" t="inlineStr">
        <is>
          <t>TIPA 302FG</t>
        </is>
      </c>
      <c r="B33" t="inlineStr">
        <is>
          <t>S723</t>
        </is>
      </c>
      <c r="C33" s="523">
        <f>C4/$B$24</f>
        <v/>
      </c>
    </row>
    <row r="34" ht="15.75" customHeight="1" s="430" thickBot="1">
      <c r="A34" s="119" t="n"/>
      <c r="B34" s="119" t="inlineStr">
        <is>
          <t>S724</t>
        </is>
      </c>
      <c r="C34" s="524">
        <f>C5/$B$24</f>
        <v/>
      </c>
    </row>
    <row r="35" ht="15.75" customHeight="1" s="430" thickTop="1">
      <c r="A35" s="444" t="inlineStr">
        <is>
          <t>TIPA 302FG W</t>
        </is>
      </c>
      <c r="B35" t="inlineStr">
        <is>
          <t>S723</t>
        </is>
      </c>
      <c r="C35" s="523">
        <f>C6/$B$25</f>
        <v/>
      </c>
    </row>
    <row r="36" ht="15.75" customHeight="1" s="430" thickBot="1">
      <c r="A36" s="119" t="n"/>
      <c r="B36" s="119" t="inlineStr">
        <is>
          <t>S724</t>
        </is>
      </c>
      <c r="C36" s="524">
        <f>C7/$B$25</f>
        <v/>
      </c>
    </row>
    <row r="37" ht="15.75" customHeight="1" s="430" thickTop="1">
      <c r="A37" s="444" t="inlineStr">
        <is>
          <t>TIPA 306M</t>
        </is>
      </c>
      <c r="B37" t="inlineStr">
        <is>
          <t>S723</t>
        </is>
      </c>
      <c r="C37" s="523">
        <f>C8/$B$26</f>
        <v/>
      </c>
    </row>
    <row r="38" ht="15.75" customHeight="1" s="430" thickBot="1">
      <c r="A38" s="119" t="n"/>
      <c r="B38" s="119" t="inlineStr">
        <is>
          <t>S724</t>
        </is>
      </c>
      <c r="C38" s="524">
        <f>C9/$B$26</f>
        <v/>
      </c>
    </row>
    <row r="39" ht="15.75" customHeight="1" s="430" thickTop="1">
      <c r="A39" s="444" t="inlineStr">
        <is>
          <t>TIPA 306W</t>
        </is>
      </c>
      <c r="B39" t="inlineStr">
        <is>
          <t>S723</t>
        </is>
      </c>
      <c r="C39" s="523">
        <f>C10/$B$27</f>
        <v/>
      </c>
    </row>
    <row r="40" ht="15.75" customHeight="1" s="430" thickBot="1">
      <c r="A40" s="119" t="n"/>
      <c r="B40" s="119" t="inlineStr">
        <is>
          <t>S724</t>
        </is>
      </c>
      <c r="C40" s="524">
        <f>C11/$B$27</f>
        <v/>
      </c>
    </row>
    <row r="41" ht="15.75" customHeight="1" s="430" thickTop="1">
      <c r="A41" s="444" t="inlineStr">
        <is>
          <t>TIPA 312 MFG</t>
        </is>
      </c>
      <c r="B41" t="inlineStr">
        <is>
          <t>S723</t>
        </is>
      </c>
      <c r="C41" s="523">
        <f>C12/$B$28</f>
        <v/>
      </c>
    </row>
    <row r="42" ht="15.75" customHeight="1" s="430" thickBot="1">
      <c r="A42" s="119" t="n"/>
      <c r="B42" s="119" t="inlineStr">
        <is>
          <t>S724</t>
        </is>
      </c>
      <c r="C42" s="524">
        <f>C13/$B$28</f>
        <v/>
      </c>
    </row>
    <row r="43" ht="15.75" customHeight="1" s="430" thickTop="1">
      <c r="A43" s="444" t="inlineStr">
        <is>
          <t>TIPA 312MFGW</t>
        </is>
      </c>
      <c r="B43" t="inlineStr">
        <is>
          <t>S723</t>
        </is>
      </c>
      <c r="C43" s="523">
        <f>C14/$B$29</f>
        <v/>
      </c>
    </row>
    <row r="44" ht="15.75" customHeight="1" s="430" thickBot="1">
      <c r="A44" s="119" t="n"/>
      <c r="B44" s="119" t="inlineStr">
        <is>
          <t>S724</t>
        </is>
      </c>
      <c r="C44" s="524">
        <f>C15/$B$29</f>
        <v/>
      </c>
    </row>
    <row r="45" ht="15.75" customHeight="1" s="430" thickTop="1"/>
  </sheetData>
  <autoFilter ref="A20:C29">
    <filterColumn colId="0" hiddenButton="0" showButton="1">
      <filters>
        <filter val="TIPA 302FG"/>
        <filter val="TIPA 302FG W"/>
        <filter val="TIPA 306M"/>
        <filter val="TIPA 306W"/>
        <filter val="TIPA 312 MFG"/>
        <filter val="TIPA 312MFGW"/>
      </filters>
    </filterColumn>
  </autoFilter>
  <mergeCells count="6">
    <mergeCell ref="A35:A36"/>
    <mergeCell ref="A43:A44"/>
    <mergeCell ref="A33:A34"/>
    <mergeCell ref="A39:A40"/>
    <mergeCell ref="A37:A38"/>
    <mergeCell ref="A41:A4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J38"/>
  <sheetViews>
    <sheetView workbookViewId="0">
      <selection activeCell="C28" sqref="C28"/>
    </sheetView>
  </sheetViews>
  <sheetFormatPr baseColWidth="8" defaultRowHeight="15"/>
  <cols>
    <col width="3.85546875" customWidth="1" style="430" min="1" max="1"/>
    <col width="28.5703125" customWidth="1" style="430" min="2" max="2"/>
    <col width="47.5703125" customWidth="1" style="430" min="3" max="3"/>
    <col width="19" customWidth="1" style="430" min="4" max="5"/>
    <col width="24.7109375" customWidth="1" style="430" min="6" max="6"/>
    <col width="13.28515625" customWidth="1" style="430" min="7" max="10"/>
  </cols>
  <sheetData>
    <row r="2" ht="24" customHeight="1" s="430">
      <c r="B2" s="208" t="inlineStr">
        <is>
          <t>📋 FILM PRICING LIST - STEP BY STEP GUIDE</t>
        </is>
      </c>
    </row>
    <row r="3">
      <c r="B3" s="231" t="inlineStr">
        <is>
          <t>How to use the Film Pricing calculator</t>
        </is>
      </c>
    </row>
    <row r="5" ht="15.75" customHeight="1" s="430">
      <c r="B5" s="232" t="inlineStr">
        <is>
          <t>🔄 PRICING WORKFLOW</t>
        </is>
      </c>
    </row>
    <row r="7" ht="18.75" customHeight="1" s="430">
      <c r="B7" s="233" t="inlineStr">
        <is>
          <t>STEP 1</t>
        </is>
      </c>
      <c r="C7" s="243" t="inlineStr">
        <is>
          <t>→</t>
        </is>
      </c>
      <c r="D7" s="235" t="inlineStr">
        <is>
          <t>STEP 2</t>
        </is>
      </c>
      <c r="E7" s="243" t="inlineStr">
        <is>
          <t>→</t>
        </is>
      </c>
      <c r="F7" s="237" t="inlineStr">
        <is>
          <t>STEP 3</t>
        </is>
      </c>
      <c r="G7" s="243" t="inlineStr">
        <is>
          <t>→</t>
        </is>
      </c>
      <c r="H7" s="239" t="inlineStr">
        <is>
          <t>STEP 4</t>
        </is>
      </c>
      <c r="I7" s="243" t="inlineStr">
        <is>
          <t>→</t>
        </is>
      </c>
      <c r="J7" s="241" t="inlineStr">
        <is>
          <t>STEP 5</t>
        </is>
      </c>
    </row>
    <row r="8" ht="18.75" customHeight="1" s="430">
      <c r="B8" s="234" t="inlineStr">
        <is>
          <t>📝 INPUT</t>
        </is>
      </c>
      <c r="C8" s="243" t="inlineStr">
        <is>
          <t xml:space="preserve"> </t>
        </is>
      </c>
      <c r="D8" s="236" t="inlineStr">
        <is>
          <t>⚙️ SPECS</t>
        </is>
      </c>
      <c r="E8" s="243" t="inlineStr">
        <is>
          <t xml:space="preserve"> </t>
        </is>
      </c>
      <c r="F8" s="238" t="inlineStr">
        <is>
          <t>💰 COSTS</t>
        </is>
      </c>
      <c r="G8" s="243" t="inlineStr">
        <is>
          <t xml:space="preserve"> </t>
        </is>
      </c>
      <c r="H8" s="240" t="inlineStr">
        <is>
          <t>📦 SHIP</t>
        </is>
      </c>
      <c r="I8" s="243" t="inlineStr">
        <is>
          <t xml:space="preserve"> </t>
        </is>
      </c>
      <c r="J8" s="242" t="inlineStr">
        <is>
          <t>💵 PRICE</t>
        </is>
      </c>
    </row>
    <row r="11" ht="15.75" customHeight="1" s="430">
      <c r="B11" s="232" t="inlineStr">
        <is>
          <t>📝 DETAILED STEPS</t>
        </is>
      </c>
    </row>
    <row r="13">
      <c r="B13" s="244" t="inlineStr">
        <is>
          <t>Step</t>
        </is>
      </c>
      <c r="C13" s="244" t="inlineStr">
        <is>
          <t>Action</t>
        </is>
      </c>
      <c r="D13" s="244" t="inlineStr">
        <is>
          <t>Column</t>
        </is>
      </c>
      <c r="E13" s="244" t="inlineStr">
        <is>
          <t>Example</t>
        </is>
      </c>
      <c r="F13" s="244" t="inlineStr">
        <is>
          <t>Notes</t>
        </is>
      </c>
    </row>
    <row r="14">
      <c r="B14" s="245" t="inlineStr">
        <is>
          <t>1️⃣</t>
        </is>
      </c>
      <c r="C14" s="245" t="inlineStr">
        <is>
          <t>Select Film Type</t>
        </is>
      </c>
      <c r="D14" s="245" t="inlineStr">
        <is>
          <t>A</t>
        </is>
      </c>
      <c r="E14" s="245" t="inlineStr">
        <is>
          <t>TIPA 302FG</t>
        </is>
      </c>
      <c r="F14" s="245" t="inlineStr">
        <is>
          <t>Dropdown list</t>
        </is>
      </c>
    </row>
    <row r="15">
      <c r="B15" s="67" t="inlineStr">
        <is>
          <t>2️⃣</t>
        </is>
      </c>
      <c r="C15" s="67" t="inlineStr">
        <is>
          <t>Enter Width</t>
        </is>
      </c>
      <c r="D15" s="67" t="inlineStr">
        <is>
          <t>B</t>
        </is>
      </c>
      <c r="E15" s="67" t="inlineStr">
        <is>
          <t>406 mm</t>
        </is>
      </c>
      <c r="F15" s="67" t="inlineStr">
        <is>
          <t>Width in mm</t>
        </is>
      </c>
    </row>
    <row r="16">
      <c r="B16" s="245" t="inlineStr">
        <is>
          <t>3️⃣</t>
        </is>
      </c>
      <c r="C16" s="245" t="inlineStr">
        <is>
          <t>Enter Thickness</t>
        </is>
      </c>
      <c r="D16" s="245" t="inlineStr">
        <is>
          <t>C</t>
        </is>
      </c>
      <c r="E16" s="245" t="inlineStr">
        <is>
          <t>20 µ</t>
        </is>
      </c>
      <c r="F16" s="245" t="inlineStr">
        <is>
          <t>Dropdown list</t>
        </is>
      </c>
    </row>
    <row r="17">
      <c r="B17" s="67" t="inlineStr">
        <is>
          <t>4️⃣</t>
        </is>
      </c>
      <c r="C17" s="67" t="inlineStr">
        <is>
          <t>Enter Weight</t>
        </is>
      </c>
      <c r="D17" s="67" t="inlineStr">
        <is>
          <t>E</t>
        </is>
      </c>
      <c r="E17" s="67" t="inlineStr">
        <is>
          <t>500 Kg</t>
        </is>
      </c>
      <c r="F17" s="67" t="inlineStr">
        <is>
          <t>Order qty (Kg)</t>
        </is>
      </c>
    </row>
    <row r="18">
      <c r="B18" s="245" t="inlineStr">
        <is>
          <t>5️⃣</t>
        </is>
      </c>
      <c r="C18" s="245" t="inlineStr">
        <is>
          <t>Weight Override</t>
        </is>
      </c>
      <c r="D18" s="245" t="inlineStr">
        <is>
          <t>F</t>
        </is>
      </c>
      <c r="E18" s="245" t="inlineStr">
        <is>
          <t>500 Kg</t>
        </is>
      </c>
      <c r="F18" s="245" t="inlineStr">
        <is>
          <t>Optional</t>
        </is>
      </c>
    </row>
    <row r="19">
      <c r="B19" s="67" t="inlineStr">
        <is>
          <t>6️⃣</t>
        </is>
      </c>
      <c r="C19" s="67" t="inlineStr">
        <is>
          <t>Shipping Dest.</t>
        </is>
      </c>
      <c r="D19" s="67" t="inlineStr">
        <is>
          <t>S</t>
        </is>
      </c>
      <c r="E19" s="67" t="inlineStr">
        <is>
          <t>EU/USA</t>
        </is>
      </c>
      <c r="F19" s="67" t="inlineStr">
        <is>
          <t>Dropdown list</t>
        </is>
      </c>
    </row>
    <row r="20">
      <c r="B20" s="245" t="inlineStr">
        <is>
          <t>7️⃣</t>
        </is>
      </c>
      <c r="C20" s="245" t="inlineStr">
        <is>
          <t>Review Price</t>
        </is>
      </c>
      <c r="D20" s="245" t="inlineStr">
        <is>
          <t>W</t>
        </is>
      </c>
      <c r="E20" s="245" t="inlineStr">
        <is>
          <t>Auto</t>
        </is>
      </c>
      <c r="F20" s="245" t="inlineStr">
        <is>
          <t>Final price/Kg</t>
        </is>
      </c>
    </row>
    <row r="21">
      <c r="B21" s="67" t="inlineStr">
        <is>
          <t>8️⃣</t>
        </is>
      </c>
      <c r="C21" s="67" t="inlineStr">
        <is>
          <t>Compare Margins</t>
        </is>
      </c>
      <c r="D21" s="67" t="inlineStr">
        <is>
          <t>X+</t>
        </is>
      </c>
      <c r="E21" s="67" t="inlineStr">
        <is>
          <t>25%, 30%</t>
        </is>
      </c>
      <c r="F21" s="67" t="inlineStr">
        <is>
          <t>Multiple options</t>
        </is>
      </c>
    </row>
    <row r="24" ht="15.75" customHeight="1" s="430">
      <c r="B24" s="232" t="inlineStr">
        <is>
          <t>⚡ AUTO-CALCULATIONS</t>
        </is>
      </c>
    </row>
    <row r="26">
      <c r="B26" s="246" t="inlineStr">
        <is>
          <t>Calculation</t>
        </is>
      </c>
      <c r="C26" s="246" t="inlineStr">
        <is>
          <t>Formula Logic</t>
        </is>
      </c>
    </row>
    <row r="27">
      <c r="B27" s="67" t="inlineStr">
        <is>
          <t>Length (Mr)</t>
        </is>
      </c>
      <c r="C27" s="67" t="inlineStr">
        <is>
          <t>Weight ÷ (Width × Thickness × Density)</t>
        </is>
      </c>
    </row>
    <row r="28">
      <c r="B28" s="67" t="inlineStr">
        <is>
          <t>Production Cost</t>
        </is>
      </c>
      <c r="C28" s="67" t="inlineStr">
        <is>
          <t>Hourly Rate × Production Time</t>
        </is>
      </c>
    </row>
    <row r="29">
      <c r="B29" s="67" t="inlineStr">
        <is>
          <t>Total Cost</t>
        </is>
      </c>
      <c r="C29" s="67" t="inlineStr">
        <is>
          <t>RM + Production + Depreciation + Waste + Ship</t>
        </is>
      </c>
    </row>
    <row r="30">
      <c r="B30" s="67" t="inlineStr">
        <is>
          <t>Sell Price</t>
        </is>
      </c>
      <c r="C30" s="67" t="inlineStr">
        <is>
          <t>Total Cost × (1 + Margin %)</t>
        </is>
      </c>
    </row>
    <row r="33" ht="15.75" customHeight="1" s="430">
      <c r="B33" s="232" t="inlineStr">
        <is>
          <t>💡 QUICK TIPS</t>
        </is>
      </c>
    </row>
    <row r="35">
      <c r="B35" s="247" t="inlineStr">
        <is>
          <t>✓ Use dropdowns to avoid typos</t>
        </is>
      </c>
    </row>
    <row r="36">
      <c r="B36" s="247" t="inlineStr">
        <is>
          <t>✓ Higher weight = lower cost/Kg (economies of scale)</t>
        </is>
      </c>
    </row>
    <row r="37">
      <c r="B37" s="247" t="inlineStr">
        <is>
          <t>✓ Compare margin columns for pricing options</t>
        </is>
      </c>
    </row>
    <row r="38">
      <c r="B38" s="247" t="inlineStr">
        <is>
          <t>✓ Density auto-fills based on Film Type</t>
        </is>
      </c>
    </row>
  </sheetData>
  <pageMargins left="0.7" right="0.7" top="0.75" bottom="0.75" header="0.3" footer="0.3"/>
</worksheet>
</file>

<file path=xl/worksheets/sheet3.xml><?xml version="1.0" encoding="utf-8"?>
<worksheet xmlns="http://schemas.openxmlformats.org/spreadsheetml/2006/main">
  <sheetPr>
    <tabColor theme="4" tint="0.3999755851924192"/>
    <outlinePr summaryBelow="1" summaryRight="1"/>
    <pageSetUpPr/>
  </sheetPr>
  <dimension ref="A1:AB44"/>
  <sheetViews>
    <sheetView topLeftCell="A4" zoomScale="90" zoomScaleNormal="90" workbookViewId="0">
      <selection activeCell="B15" sqref="B15"/>
    </sheetView>
  </sheetViews>
  <sheetFormatPr baseColWidth="8" defaultRowHeight="15"/>
  <cols>
    <col width="23.42578125" bestFit="1" customWidth="1" style="430" min="1" max="1"/>
    <col width="10.140625" bestFit="1" customWidth="1" style="430" min="2" max="2"/>
    <col width="11.42578125" customWidth="1" style="430" min="3" max="3"/>
    <col width="10.42578125" bestFit="1" customWidth="1" style="430" min="4" max="4"/>
    <col width="11.140625" customWidth="1" style="430" min="6" max="6"/>
    <col width="13.85546875" bestFit="1" customWidth="1" style="430" min="7" max="7"/>
    <col width="13.7109375" customWidth="1" style="430" min="8" max="8"/>
    <col width="9.5703125" bestFit="1" customWidth="1" style="430" min="13" max="13"/>
    <col width="16.140625" bestFit="1" customWidth="1" style="430" min="16" max="16"/>
    <col width="21.140625" bestFit="1" customWidth="1" style="430" min="17" max="17"/>
    <col width="21.5703125" customWidth="1" style="430" min="18" max="18"/>
    <col width="18.42578125" bestFit="1" customWidth="1" style="430" min="19" max="19"/>
    <col width="12.5703125" customWidth="1" style="430" min="20" max="20"/>
    <col width="13.5703125" customWidth="1" style="430" min="21" max="21"/>
    <col width="21.5703125" customWidth="1" style="430" min="23" max="23"/>
    <col width="10.42578125" bestFit="1" customWidth="1" style="430" min="24" max="24"/>
    <col width="14.42578125" bestFit="1" customWidth="1" style="430" min="25" max="25"/>
  </cols>
  <sheetData>
    <row r="1" ht="21" customHeight="1" s="430">
      <c r="A1" t="inlineStr">
        <is>
          <t>Tipa 303B&amp;W</t>
        </is>
      </c>
      <c r="F1" s="254" t="inlineStr">
        <is>
          <t>All changes to paramters should be in Film Summary</t>
        </is>
      </c>
    </row>
    <row r="2" ht="15.75" customHeight="1" s="430" thickBot="1">
      <c r="A2" s="150" t="inlineStr">
        <is>
          <t>Tipa302WFG</t>
        </is>
      </c>
      <c r="S2" s="118" t="n">
        <v>0.25</v>
      </c>
    </row>
    <row r="3" ht="16.5" customHeight="1" s="430" thickBot="1">
      <c r="A3" t="inlineStr">
        <is>
          <t>TIPA 303 W</t>
        </is>
      </c>
      <c r="B3" s="255" t="n"/>
      <c r="C3" s="255" t="n"/>
      <c r="D3" s="255" t="n"/>
      <c r="E3" s="255" t="n"/>
      <c r="F3" s="256" t="n"/>
      <c r="G3" s="256" t="n"/>
      <c r="H3" s="256" t="n"/>
      <c r="I3" s="525" t="inlineStr">
        <is>
          <t>עלויות ייצור</t>
        </is>
      </c>
      <c r="J3" s="526" t="n"/>
      <c r="K3" s="257" t="inlineStr">
        <is>
          <t>סה"כ</t>
        </is>
      </c>
      <c r="L3" s="258" t="n">
        <v>0.15</v>
      </c>
      <c r="M3" s="527">
        <f>'[2]Film -Summary'!M3</f>
        <v/>
      </c>
      <c r="N3" s="116" t="n"/>
      <c r="O3" s="116" t="n"/>
      <c r="P3" s="116" t="n"/>
      <c r="Q3" s="116" t="n"/>
      <c r="R3" s="116" t="n"/>
      <c r="S3" s="527" t="n">
        <v>0.225</v>
      </c>
      <c r="T3" s="528">
        <f>S3/100/(1+S3)</f>
        <v/>
      </c>
      <c r="W3" s="116" t="n"/>
    </row>
    <row r="4" ht="79.5" customHeight="1" s="430" thickBot="1">
      <c r="A4" s="261" t="inlineStr">
        <is>
          <t>Film</t>
        </is>
      </c>
      <c r="B4" s="262" t="inlineStr">
        <is>
          <t>Width (mm)</t>
        </is>
      </c>
      <c r="C4" s="263" t="inlineStr">
        <is>
          <t>Length (Mr)</t>
        </is>
      </c>
      <c r="D4" s="262" t="inlineStr">
        <is>
          <t>Thickenes (µ)</t>
        </is>
      </c>
      <c r="E4" s="264" t="inlineStr">
        <is>
          <t>צפיפות</t>
        </is>
      </c>
      <c r="F4" s="263" t="inlineStr">
        <is>
          <t>Total KG in one Meter</t>
        </is>
      </c>
      <c r="G4" s="263" t="inlineStr">
        <is>
          <t>Total Kg Produced</t>
        </is>
      </c>
      <c r="H4" s="265" t="inlineStr">
        <is>
          <t>Hourly rate</t>
        </is>
      </c>
      <c r="I4" s="266" t="inlineStr">
        <is>
          <t>1Kg production cost</t>
        </is>
      </c>
      <c r="J4" s="267" t="inlineStr">
        <is>
          <t>RM cost in 1 Kg</t>
        </is>
      </c>
      <c r="K4" s="257" t="inlineStr">
        <is>
          <t>To tal RM and Production</t>
        </is>
      </c>
      <c r="L4" s="257" t="inlineStr">
        <is>
          <t>Total Cost and depreciation</t>
        </is>
      </c>
      <c r="M4" s="257" t="inlineStr">
        <is>
          <t>Dep</t>
        </is>
      </c>
      <c r="N4" s="257" t="inlineStr">
        <is>
          <t>Other costs</t>
        </is>
      </c>
      <c r="O4" s="268" t="inlineStr">
        <is>
          <t>Basc Cost</t>
        </is>
      </c>
      <c r="P4" s="268" t="inlineStr">
        <is>
          <t>SET UP</t>
        </is>
      </c>
      <c r="Q4" s="268" t="inlineStr">
        <is>
          <t>Printing</t>
        </is>
      </c>
      <c r="R4" s="268" t="inlineStr">
        <is>
          <t>Shipping &amp; Customs</t>
        </is>
      </c>
      <c r="S4" s="268" t="inlineStr">
        <is>
          <t>Total Cost</t>
        </is>
      </c>
      <c r="T4" s="269" t="inlineStr">
        <is>
          <t>Selling price</t>
        </is>
      </c>
      <c r="W4" s="268" t="inlineStr">
        <is>
          <t>Producer</t>
        </is>
      </c>
    </row>
    <row r="5" ht="16.5" customHeight="1" s="430" thickBot="1">
      <c r="A5" s="270" t="inlineStr">
        <is>
          <t>Tipa302FG</t>
        </is>
      </c>
      <c r="B5" s="271" t="n">
        <v>1800</v>
      </c>
      <c r="C5" s="272" t="n">
        <v>1</v>
      </c>
      <c r="D5" s="271" t="n">
        <v>20</v>
      </c>
      <c r="E5" s="272" t="n">
        <v>1.25</v>
      </c>
      <c r="F5" s="529">
        <f>C5*E5*(D5/1000)*(B5/1000)</f>
        <v/>
      </c>
      <c r="G5" s="274" t="n">
        <v>450</v>
      </c>
      <c r="H5" s="530" t="n">
        <v>510</v>
      </c>
      <c r="I5" s="530">
        <f>H5/G5+0.2</f>
        <v/>
      </c>
      <c r="J5" s="276">
        <f>VLOOKUP(A5,'[2]Raw material summary'!A:B,2,0)</f>
        <v/>
      </c>
      <c r="K5" s="531">
        <f>J5+I5</f>
        <v/>
      </c>
      <c r="L5" s="531">
        <f>K5*(1+$L$3)</f>
        <v/>
      </c>
      <c r="M5" s="278" t="n">
        <v>0.15</v>
      </c>
      <c r="N5" s="531">
        <f>L5*$M$3</f>
        <v/>
      </c>
      <c r="O5" s="532">
        <f>L5+N5</f>
        <v/>
      </c>
      <c r="P5" s="531">
        <f>1550*2/60000</f>
        <v/>
      </c>
      <c r="Q5" s="281" t="n"/>
      <c r="R5" s="281" t="n"/>
      <c r="S5" s="532">
        <f>SUM(O5:R5)</f>
        <v/>
      </c>
      <c r="T5" s="533">
        <f>S5/(1-($S$3))</f>
        <v/>
      </c>
      <c r="U5" s="151">
        <f>2000*F5</f>
        <v/>
      </c>
      <c r="V5">
        <f>U5*T5</f>
        <v/>
      </c>
      <c r="W5" s="67" t="n"/>
    </row>
    <row r="6" ht="16.5" customHeight="1" s="430" thickBot="1">
      <c r="A6" s="270" t="inlineStr">
        <is>
          <t>Tipa302FG</t>
        </is>
      </c>
      <c r="B6" s="271" t="n">
        <v>1800</v>
      </c>
      <c r="C6" s="272" t="n">
        <v>1</v>
      </c>
      <c r="D6" s="271" t="n">
        <v>25</v>
      </c>
      <c r="E6" s="272" t="n">
        <v>1.25</v>
      </c>
      <c r="F6" s="529">
        <f>C6*E6*(D6/1000)*(B6/1000)</f>
        <v/>
      </c>
      <c r="G6" s="274" t="n">
        <v>500</v>
      </c>
      <c r="H6" s="530">
        <f>H5</f>
        <v/>
      </c>
      <c r="I6" s="530">
        <f>H6/G6+0.2</f>
        <v/>
      </c>
      <c r="J6" s="276">
        <f>VLOOKUP(A6,'[2]Raw material summary'!A:B,2,0)</f>
        <v/>
      </c>
      <c r="K6" s="531">
        <f>J6+I6</f>
        <v/>
      </c>
      <c r="L6" s="531">
        <f>K6*(1+$L$3)</f>
        <v/>
      </c>
      <c r="M6" s="278" t="n">
        <v>0.15</v>
      </c>
      <c r="N6" s="531">
        <f>L6*$M$3</f>
        <v/>
      </c>
      <c r="O6" s="532">
        <f>L6+N6</f>
        <v/>
      </c>
      <c r="P6" s="531">
        <f>1550*2/60000</f>
        <v/>
      </c>
      <c r="Q6" s="281" t="n"/>
      <c r="R6" s="281" t="n"/>
      <c r="S6" s="532">
        <f>SUM(O6:R6)</f>
        <v/>
      </c>
      <c r="T6" s="533">
        <f>S6/(1-($S$3))</f>
        <v/>
      </c>
      <c r="W6" s="67" t="n"/>
    </row>
    <row r="7" ht="15.75" customHeight="1" s="430" thickBot="1">
      <c r="A7" s="270" t="inlineStr">
        <is>
          <t>Tipa302FG</t>
        </is>
      </c>
      <c r="B7" s="271" t="n">
        <v>1800</v>
      </c>
      <c r="C7" s="272" t="n">
        <v>1</v>
      </c>
      <c r="D7" s="271" t="n">
        <v>30</v>
      </c>
      <c r="E7" s="272" t="n">
        <v>1.25</v>
      </c>
      <c r="F7" s="529">
        <f>C7*E7*(D7/1000)*(B7/1000)</f>
        <v/>
      </c>
      <c r="G7" s="274" t="n">
        <v>500</v>
      </c>
      <c r="H7" s="530">
        <f>H6</f>
        <v/>
      </c>
      <c r="I7" s="530">
        <f>H7/G7+0.2</f>
        <v/>
      </c>
      <c r="J7" s="276">
        <f>VLOOKUP(A7,'[2]Raw material summary'!A:B,2,0)</f>
        <v/>
      </c>
      <c r="K7" s="531">
        <f>J7+I7</f>
        <v/>
      </c>
      <c r="L7" s="531">
        <f>K7*(1+$L$3)</f>
        <v/>
      </c>
      <c r="M7" s="278" t="n">
        <v>0.15</v>
      </c>
      <c r="N7" s="531">
        <f>L7*$M$3</f>
        <v/>
      </c>
      <c r="O7" s="532">
        <f>L7+N7</f>
        <v/>
      </c>
      <c r="P7" s="531">
        <f>1550*2/60000</f>
        <v/>
      </c>
      <c r="Q7" s="281" t="n"/>
      <c r="R7" s="281" t="n"/>
      <c r="S7" s="532">
        <f>SUM(O7:R7)</f>
        <v/>
      </c>
      <c r="T7" s="533">
        <f>S7/(1-($S$3))</f>
        <v/>
      </c>
      <c r="U7" s="151">
        <f>1/F7*25</f>
        <v/>
      </c>
      <c r="W7" s="67" t="n"/>
    </row>
    <row r="8" ht="16.5" customHeight="1" s="430" thickBot="1">
      <c r="A8" s="270" t="inlineStr">
        <is>
          <t>Tipa302FG</t>
        </is>
      </c>
      <c r="B8" s="271" t="n">
        <v>1800</v>
      </c>
      <c r="C8" s="272" t="n">
        <v>1</v>
      </c>
      <c r="D8" s="271" t="n">
        <v>35</v>
      </c>
      <c r="E8" s="272" t="n">
        <v>1.25</v>
      </c>
      <c r="F8" s="529">
        <f>C8*E8*(D8/1000)*(B8/1000)</f>
        <v/>
      </c>
      <c r="G8" s="274" t="n">
        <v>500</v>
      </c>
      <c r="H8" s="530">
        <f>H7</f>
        <v/>
      </c>
      <c r="I8" s="530">
        <f>H8/G8+0.2</f>
        <v/>
      </c>
      <c r="J8" s="276">
        <f>VLOOKUP(A8,'[2]Raw material summary'!A:B,2,0)</f>
        <v/>
      </c>
      <c r="K8" s="531">
        <f>J8+I8</f>
        <v/>
      </c>
      <c r="L8" s="531">
        <f>K8*(1+$L$3)</f>
        <v/>
      </c>
      <c r="M8" s="278" t="n">
        <v>0.15</v>
      </c>
      <c r="N8" s="531">
        <f>L8*$M$3</f>
        <v/>
      </c>
      <c r="O8" s="532">
        <f>L8+N8</f>
        <v/>
      </c>
      <c r="P8" s="531">
        <f>1550*2/60000</f>
        <v/>
      </c>
      <c r="Q8" s="281" t="n"/>
      <c r="R8" s="281" t="n"/>
      <c r="S8" s="532">
        <f>SUM(O8:R8)</f>
        <v/>
      </c>
      <c r="T8" s="533">
        <f>S8/(1-($S$3))</f>
        <v/>
      </c>
      <c r="U8" s="151" t="n"/>
      <c r="V8" s="151" t="n"/>
      <c r="W8" s="67" t="n"/>
    </row>
    <row r="9" ht="16.5" customHeight="1" s="430" thickBot="1">
      <c r="A9" s="270" t="inlineStr">
        <is>
          <t>Tipa302FG</t>
        </is>
      </c>
      <c r="B9" s="271" t="n">
        <v>1800</v>
      </c>
      <c r="C9" s="272" t="n">
        <v>1</v>
      </c>
      <c r="D9" s="271" t="n">
        <v>40</v>
      </c>
      <c r="E9" s="272" t="n">
        <v>1.25</v>
      </c>
      <c r="F9" s="529">
        <f>C9*E9*(D9/1000)*(B9/1000)</f>
        <v/>
      </c>
      <c r="G9" s="274" t="n">
        <v>500</v>
      </c>
      <c r="H9" s="530">
        <f>H8</f>
        <v/>
      </c>
      <c r="I9" s="530">
        <f>H9/G9+0.2</f>
        <v/>
      </c>
      <c r="J9" s="276">
        <f>VLOOKUP(A9,'[2]Raw material summary'!A:B,2,0)</f>
        <v/>
      </c>
      <c r="K9" s="531">
        <f>J9+I9</f>
        <v/>
      </c>
      <c r="L9" s="531">
        <f>K9*(1+$L$3)</f>
        <v/>
      </c>
      <c r="M9" s="278" t="n">
        <v>0.15</v>
      </c>
      <c r="N9" s="531">
        <f>L9*$M$3</f>
        <v/>
      </c>
      <c r="O9" s="532">
        <f>L9+N9</f>
        <v/>
      </c>
      <c r="P9" s="531">
        <f>1550*2/60000</f>
        <v/>
      </c>
      <c r="Q9" s="281" t="n"/>
      <c r="R9" s="281" t="n"/>
      <c r="S9" s="532">
        <f>SUM(O9:R9)</f>
        <v/>
      </c>
      <c r="T9" s="533">
        <f>S9/(1-($S$3))</f>
        <v/>
      </c>
      <c r="W9" s="67" t="n"/>
    </row>
    <row r="10" ht="16.5" customHeight="1" s="430" thickBot="1">
      <c r="A10" s="270" t="inlineStr">
        <is>
          <t>Tipa302FG</t>
        </is>
      </c>
      <c r="B10" s="271" t="n">
        <v>1800</v>
      </c>
      <c r="C10" s="272" t="n">
        <v>1</v>
      </c>
      <c r="D10" s="271" t="n">
        <v>50</v>
      </c>
      <c r="E10" s="272" t="n">
        <v>1.25</v>
      </c>
      <c r="F10" s="529">
        <f>C10*E10*(D10/1000)*(B10/1000)</f>
        <v/>
      </c>
      <c r="G10" s="274" t="n">
        <v>500</v>
      </c>
      <c r="H10" s="530">
        <f>H9</f>
        <v/>
      </c>
      <c r="I10" s="530">
        <f>H10/G10+0.2</f>
        <v/>
      </c>
      <c r="J10" s="276">
        <f>VLOOKUP(A10,'[2]Raw material summary'!A:B,2,0)</f>
        <v/>
      </c>
      <c r="K10" s="531">
        <f>J10+I10</f>
        <v/>
      </c>
      <c r="L10" s="531">
        <f>K10*(1+$L$3)</f>
        <v/>
      </c>
      <c r="M10" s="278" t="n">
        <v>0.15</v>
      </c>
      <c r="N10" s="531">
        <f>L10*$M$3</f>
        <v/>
      </c>
      <c r="O10" s="532">
        <f>L10+N10</f>
        <v/>
      </c>
      <c r="P10" s="531">
        <f>1550*2/60000</f>
        <v/>
      </c>
      <c r="Q10" s="281" t="n"/>
      <c r="R10" s="281" t="n"/>
      <c r="S10" s="532">
        <f>SUM(O10:R10)</f>
        <v/>
      </c>
      <c r="T10" s="533">
        <f>S10/(1-($S$3))</f>
        <v/>
      </c>
      <c r="W10" s="67" t="n"/>
    </row>
    <row r="11" ht="16.5" customHeight="1" s="430" thickBot="1">
      <c r="A11" s="270" t="inlineStr">
        <is>
          <t>Tipa302FG</t>
        </is>
      </c>
      <c r="B11" s="271" t="n">
        <v>1800</v>
      </c>
      <c r="C11" s="272" t="n">
        <v>1</v>
      </c>
      <c r="D11" s="271" t="n">
        <v>60</v>
      </c>
      <c r="E11" s="272" t="n">
        <v>1.25</v>
      </c>
      <c r="F11" s="529">
        <f>C11*E11*(D11/1000)*(B11/1000)</f>
        <v/>
      </c>
      <c r="G11" s="274" t="n">
        <v>500</v>
      </c>
      <c r="H11" s="530">
        <f>H10</f>
        <v/>
      </c>
      <c r="I11" s="530">
        <f>H11/G11+0.2</f>
        <v/>
      </c>
      <c r="J11" s="276">
        <f>VLOOKUP(A11,'[2]Raw material summary'!A:B,2,0)</f>
        <v/>
      </c>
      <c r="K11" s="531">
        <f>J11+I11</f>
        <v/>
      </c>
      <c r="L11" s="531">
        <f>K11*(1+$L$3)</f>
        <v/>
      </c>
      <c r="M11" s="278" t="n">
        <v>0.15</v>
      </c>
      <c r="N11" s="531">
        <f>L11*$M$3</f>
        <v/>
      </c>
      <c r="O11" s="532">
        <f>L11+N11</f>
        <v/>
      </c>
      <c r="P11" s="531">
        <f>1550*2/60000</f>
        <v/>
      </c>
      <c r="Q11" s="281" t="n"/>
      <c r="R11" s="281" t="n"/>
      <c r="S11" s="532">
        <f>SUM(O11:R11)</f>
        <v/>
      </c>
      <c r="T11" s="533">
        <f>S11/(1-($S$3))</f>
        <v/>
      </c>
      <c r="W11" s="67" t="n"/>
      <c r="AB11">
        <f>19839/5</f>
        <v/>
      </c>
    </row>
    <row r="12" ht="16.5" customHeight="1" s="430" thickBot="1">
      <c r="A12" s="270" t="inlineStr">
        <is>
          <t>Tipa302FG</t>
        </is>
      </c>
      <c r="B12" s="271" t="n">
        <v>1800</v>
      </c>
      <c r="C12" s="272" t="n">
        <v>1</v>
      </c>
      <c r="D12" s="271" t="n">
        <v>70</v>
      </c>
      <c r="E12" s="272" t="n">
        <v>1.25</v>
      </c>
      <c r="F12" s="529">
        <f>C12*E12*(D12/1000)*(B12/1000)</f>
        <v/>
      </c>
      <c r="G12" s="274" t="n">
        <v>500</v>
      </c>
      <c r="H12" s="530">
        <f>H11</f>
        <v/>
      </c>
      <c r="I12" s="530">
        <f>H12/G12+0.2</f>
        <v/>
      </c>
      <c r="J12" s="276">
        <f>VLOOKUP(A12,'[2]Raw material summary'!A:B,2,0)</f>
        <v/>
      </c>
      <c r="K12" s="531">
        <f>J12+I12</f>
        <v/>
      </c>
      <c r="L12" s="531">
        <f>K12*(1+$L$3)</f>
        <v/>
      </c>
      <c r="M12" s="278" t="n">
        <v>0.15</v>
      </c>
      <c r="N12" s="531">
        <f>L12*$M$3</f>
        <v/>
      </c>
      <c r="O12" s="532">
        <f>L12+N12</f>
        <v/>
      </c>
      <c r="P12" s="531">
        <f>1550*2/60000</f>
        <v/>
      </c>
      <c r="Q12" s="281" t="n"/>
      <c r="R12" s="281" t="n"/>
      <c r="S12" s="532">
        <f>SUM(O12:R12)</f>
        <v/>
      </c>
      <c r="T12" s="533">
        <f>S12/(1-($S$3))</f>
        <v/>
      </c>
      <c r="W12" s="67" t="n"/>
    </row>
    <row r="13" ht="16.5" customHeight="1" s="430" thickBot="1">
      <c r="A13" s="270" t="inlineStr">
        <is>
          <t>Tipa302FG</t>
        </is>
      </c>
      <c r="B13" s="271" t="n">
        <v>1800</v>
      </c>
      <c r="C13" s="272" t="n">
        <v>1</v>
      </c>
      <c r="D13" s="271" t="n">
        <v>80</v>
      </c>
      <c r="E13" s="272" t="n">
        <v>1.25</v>
      </c>
      <c r="F13" s="529">
        <f>C13*E13*(D13/1000)*(B13/1000)</f>
        <v/>
      </c>
      <c r="G13" s="274" t="n">
        <v>500</v>
      </c>
      <c r="H13" s="530">
        <f>H12</f>
        <v/>
      </c>
      <c r="I13" s="530">
        <f>H13/G13+0.2</f>
        <v/>
      </c>
      <c r="J13" s="276">
        <f>VLOOKUP(A13,'[2]Raw material summary'!A:B,2,0)</f>
        <v/>
      </c>
      <c r="K13" s="531">
        <f>J13+I13</f>
        <v/>
      </c>
      <c r="L13" s="531">
        <f>K13*(1+$L$3)</f>
        <v/>
      </c>
      <c r="M13" s="278" t="n">
        <v>0.15</v>
      </c>
      <c r="N13" s="531">
        <f>L13*$M$3</f>
        <v/>
      </c>
      <c r="O13" s="532">
        <f>L13+N13</f>
        <v/>
      </c>
      <c r="P13" s="531">
        <f>1550*2/60000</f>
        <v/>
      </c>
      <c r="Q13" s="281" t="n"/>
      <c r="R13" s="281" t="n">
        <v>0.2</v>
      </c>
      <c r="S13" s="532">
        <f>SUM(O13:R13)</f>
        <v/>
      </c>
      <c r="T13" s="533">
        <f>S13/(1-($S$3))</f>
        <v/>
      </c>
      <c r="W13" s="67" t="n"/>
    </row>
    <row r="14" ht="15.75" customHeight="1" s="430" thickBot="1">
      <c r="Q14" s="534" t="n"/>
      <c r="R14" s="284" t="n"/>
      <c r="W14" s="67" t="n"/>
    </row>
    <row r="15" ht="16.5" customHeight="1" s="430" thickBot="1">
      <c r="A15" s="285">
        <f>A25</f>
        <v/>
      </c>
      <c r="B15" s="271">
        <f>B25</f>
        <v/>
      </c>
      <c r="C15" s="272" t="n">
        <v>1</v>
      </c>
      <c r="D15" s="271">
        <f>C25</f>
        <v/>
      </c>
      <c r="E15" s="272" t="n">
        <v>1.25</v>
      </c>
      <c r="F15" s="529">
        <f>C15*E15*(D15/1000)*(B15/1000)</f>
        <v/>
      </c>
      <c r="G15" s="286">
        <f>VLOOKUP(D15,$D$5:$G$13,4,0)</f>
        <v/>
      </c>
      <c r="H15" s="530">
        <f>$H$5</f>
        <v/>
      </c>
      <c r="I15" s="530">
        <f>IF(W15="Verbano",0.8,IF(W15="Polifilm","X",H15/G15+0.2))</f>
        <v/>
      </c>
      <c r="J15" s="276">
        <f>VLOOKUP(A15,'[2]Raw material summary'!A:B,2,0)</f>
        <v/>
      </c>
      <c r="K15" s="531">
        <f>J15+I15</f>
        <v/>
      </c>
      <c r="L15" s="531">
        <f>K15*(1+M15)</f>
        <v/>
      </c>
      <c r="M15" s="278">
        <f>IF(F25&gt;=$D$36,$E$37,IF(F25&gt;=$C$36,$D$37,IF(F25&gt;=$B$36,$C$37,$B$37)))+IF(OR(D15=25,D15=20),$B$41,IF(D15=30,$B$40,0))</f>
        <v/>
      </c>
      <c r="N15" s="531">
        <f>IF(OR(A15=$A$1,A15=$A$2,A15=$A$3),1500/F25,0)+0.3</f>
        <v/>
      </c>
      <c r="O15" s="532">
        <f>L15+N15</f>
        <v/>
      </c>
      <c r="P15" s="531">
        <f>IF(W15="Verbano",30/60*500*K15/20000,(1500+3000)/30000)</f>
        <v/>
      </c>
      <c r="Q15" s="535" t="n">
        <v>4</v>
      </c>
      <c r="R15" s="288">
        <f>9*0.15+3</f>
        <v/>
      </c>
      <c r="S15" s="532">
        <f>SUM(O15:R15)</f>
        <v/>
      </c>
      <c r="T15" s="533">
        <f>S15/(1-($S$3))</f>
        <v/>
      </c>
      <c r="U15" s="151">
        <f>1000*F15</f>
        <v/>
      </c>
      <c r="W15" s="67" t="inlineStr">
        <is>
          <t>Gefo</t>
        </is>
      </c>
      <c r="Y15">
        <f>T15*F25</f>
        <v/>
      </c>
      <c r="AB15" t="inlineStr">
        <is>
          <t>Verbano</t>
        </is>
      </c>
    </row>
    <row r="16" ht="16.5" customHeight="1" s="430" thickBot="1">
      <c r="A16" s="285">
        <f>A26</f>
        <v/>
      </c>
      <c r="B16" s="271">
        <f>B26</f>
        <v/>
      </c>
      <c r="C16" s="272" t="n">
        <v>1</v>
      </c>
      <c r="D16" s="271">
        <f>C26</f>
        <v/>
      </c>
      <c r="E16" s="272" t="n">
        <v>1.25</v>
      </c>
      <c r="F16" s="529">
        <f>C16*E16*(D16/1000)*(B16/1000)</f>
        <v/>
      </c>
      <c r="G16" s="286">
        <f>VLOOKUP(D16,$D$5:$G$13,4,0)</f>
        <v/>
      </c>
      <c r="H16" s="530">
        <f>$H$5</f>
        <v/>
      </c>
      <c r="I16" s="530">
        <f>IF(W16="Verbano",0.8,IF(W16="Polifilm","X",H16/G16+0.2))</f>
        <v/>
      </c>
      <c r="J16" s="276">
        <f>VLOOKUP(A16,'[2]Raw material summary'!A:B,2,0)</f>
        <v/>
      </c>
      <c r="K16" s="531">
        <f>J16+I16</f>
        <v/>
      </c>
      <c r="L16" s="531">
        <f>K16*(1+M16)</f>
        <v/>
      </c>
      <c r="M16" s="278">
        <f>IF(F26&gt;=$D$36,$E$37,IF(F26&gt;=$C$36,$D$37,IF(F26&gt;=$B$36,$C$37,$B$37)))+IF(OR(D16=25,D16=20),$B$41,IF(D16=30,$B$40,0))</f>
        <v/>
      </c>
      <c r="N16" s="531">
        <f>IF(OR(A16=$A$1,A16=$A$2,A16=$A$3),1500/F26,0)+0.3</f>
        <v/>
      </c>
      <c r="O16" s="532">
        <f>L16+N16</f>
        <v/>
      </c>
      <c r="P16" s="531">
        <f>IF(W16="Verbano",30/60*500*K16/20000,(1500+3000)/30000)</f>
        <v/>
      </c>
      <c r="Q16" s="535" t="n"/>
      <c r="R16" s="288" t="n"/>
      <c r="S16" s="532">
        <f>SUM(O16:R16)</f>
        <v/>
      </c>
      <c r="T16" s="533">
        <f>S16/(1-($S$3))</f>
        <v/>
      </c>
      <c r="W16" s="67" t="inlineStr">
        <is>
          <t>Gefo</t>
        </is>
      </c>
      <c r="Y16">
        <f>T16*F26</f>
        <v/>
      </c>
      <c r="AB16" t="inlineStr">
        <is>
          <t>Polifilm</t>
        </is>
      </c>
    </row>
    <row r="17" ht="16.5" customHeight="1" s="430" thickBot="1">
      <c r="A17" s="285">
        <f>A27</f>
        <v/>
      </c>
      <c r="B17" s="271">
        <f>B27</f>
        <v/>
      </c>
      <c r="C17" s="272" t="n">
        <v>1</v>
      </c>
      <c r="D17" s="271">
        <f>C27</f>
        <v/>
      </c>
      <c r="E17" s="272" t="n">
        <v>1.25</v>
      </c>
      <c r="F17" s="529">
        <f>C17*E17*(D17/1000)*(B17/1000)</f>
        <v/>
      </c>
      <c r="G17" s="286">
        <f>VLOOKUP(D17,$D$5:$G$13,4,0)</f>
        <v/>
      </c>
      <c r="H17" s="530">
        <f>$H$5</f>
        <v/>
      </c>
      <c r="I17" s="530">
        <f>IF(W17="Verbano",0.8,IF(W17="Polifilm","X",H17/G17+0.2))</f>
        <v/>
      </c>
      <c r="J17" s="276">
        <f>VLOOKUP(A17,'[2]Raw material summary'!A:B,2,0)</f>
        <v/>
      </c>
      <c r="K17" s="531">
        <f>J17+I17</f>
        <v/>
      </c>
      <c r="L17" s="531">
        <f>K17*(1+M17)</f>
        <v/>
      </c>
      <c r="M17" s="278">
        <f>IF(F27&gt;=$D$36,$E$37,IF(F27&gt;=$C$36,$D$37,IF(F27&gt;=$B$36,$C$37,$B$37)))+IF(OR(D17=25,D17=20),$B$41,IF(D17=30,$B$40,0))</f>
        <v/>
      </c>
      <c r="N17" s="531">
        <f>IF(OR(A17=$A$1,A17=$A$2,A17=$A$3),1500/F27,0)+0.3</f>
        <v/>
      </c>
      <c r="O17" s="532">
        <f>L17+N17</f>
        <v/>
      </c>
      <c r="P17" s="531">
        <f>IF(W17="Verbano",30/60*500*K17/20000,(1500+3000)/30000)</f>
        <v/>
      </c>
      <c r="Q17" s="535" t="n"/>
      <c r="R17" s="288" t="n"/>
      <c r="S17" s="532">
        <f>SUM(O17:R17)</f>
        <v/>
      </c>
      <c r="T17" s="533">
        <f>S17/(1-($S$3))</f>
        <v/>
      </c>
      <c r="W17" s="67" t="inlineStr">
        <is>
          <t>Gefo</t>
        </is>
      </c>
      <c r="Y17">
        <f>T17*F27</f>
        <v/>
      </c>
      <c r="AB17" t="inlineStr">
        <is>
          <t>Gefo</t>
        </is>
      </c>
    </row>
    <row r="18" ht="16.5" customHeight="1" s="430" thickBot="1">
      <c r="A18" s="285">
        <f>A28</f>
        <v/>
      </c>
      <c r="B18" s="271">
        <f>B28</f>
        <v/>
      </c>
      <c r="C18" s="272" t="n">
        <v>1</v>
      </c>
      <c r="D18" s="271">
        <f>C28</f>
        <v/>
      </c>
      <c r="E18" s="272" t="n">
        <v>1.25</v>
      </c>
      <c r="F18" s="529">
        <f>C18*E18*(D18/1000)*(B18/1000)</f>
        <v/>
      </c>
      <c r="G18" s="286">
        <f>VLOOKUP(D18,$D$5:$G$13,4,0)</f>
        <v/>
      </c>
      <c r="H18" s="530">
        <f>$H$5</f>
        <v/>
      </c>
      <c r="I18" s="530">
        <f>IF(W18="Verbano",0.8,IF(W18="Polifilm","X",H18/G18+0.2))</f>
        <v/>
      </c>
      <c r="J18" s="276">
        <f>VLOOKUP(A18,'[2]Raw material summary'!A:B,2,0)</f>
        <v/>
      </c>
      <c r="K18" s="531">
        <f>J18+I18</f>
        <v/>
      </c>
      <c r="L18" s="531">
        <f>K18*(1+M18)</f>
        <v/>
      </c>
      <c r="M18" s="278">
        <f>IF(F28&gt;=$D$36,$E$37,IF(F28&gt;=$C$36,$D$37,IF(F28&gt;=$B$36,$C$37,$B$37)))+IF(OR(D18=25,D18=20),$B$41,IF(D18=30,$B$40,0))</f>
        <v/>
      </c>
      <c r="N18" s="531">
        <f>IF(OR(A18=$A$1,A18=$A$2,A18=$A$3),1500/F28,0)+0.3</f>
        <v/>
      </c>
      <c r="O18" s="532">
        <f>L18+N18</f>
        <v/>
      </c>
      <c r="P18" s="531">
        <f>IF(W18="Verbano",30/60*500*K18/20000,(1500+3000)/30000)</f>
        <v/>
      </c>
      <c r="Q18" s="535" t="n"/>
      <c r="R18" s="288" t="n"/>
      <c r="S18" s="532">
        <f>SUM(O18:R18)</f>
        <v/>
      </c>
      <c r="T18" s="533">
        <f>S18/(1-($S$3))</f>
        <v/>
      </c>
      <c r="W18" s="67" t="inlineStr">
        <is>
          <t>Gefo</t>
        </is>
      </c>
    </row>
    <row r="19" ht="16.5" customHeight="1" s="430" thickBot="1">
      <c r="A19" s="285">
        <f>A29</f>
        <v/>
      </c>
      <c r="B19" s="271">
        <f>B29</f>
        <v/>
      </c>
      <c r="C19" s="272" t="n">
        <v>1</v>
      </c>
      <c r="D19" s="271">
        <f>C29</f>
        <v/>
      </c>
      <c r="E19" s="272" t="n">
        <v>1.25</v>
      </c>
      <c r="F19" s="529">
        <f>C19*E19*(D19/1000)*(B19/1000)</f>
        <v/>
      </c>
      <c r="G19" s="286">
        <f>VLOOKUP(D19,$D$5:$G$13,4,0)</f>
        <v/>
      </c>
      <c r="H19" s="530">
        <f>$H$5</f>
        <v/>
      </c>
      <c r="I19" s="530">
        <f>IF(W19="Verbano",0.8,IF(W19="Polifilm","X",H19/G19+0.2))</f>
        <v/>
      </c>
      <c r="J19" s="276">
        <f>VLOOKUP(A19,'[2]Raw material summary'!A:B,2,0)</f>
        <v/>
      </c>
      <c r="K19" s="531">
        <f>J19+I19</f>
        <v/>
      </c>
      <c r="L19" s="531">
        <f>K19*(1+M19)</f>
        <v/>
      </c>
      <c r="M19" s="278">
        <f>IF(F29&gt;=$D$36,$E$37,IF(F29&gt;=$C$36,$D$37,IF(F29&gt;=$B$36,$C$37,$B$37)))+IF(OR(D19=25,D19=20),$B$41,IF(D19=30,$B$40,0))+1400/B29-1</f>
        <v/>
      </c>
      <c r="N19" s="531">
        <f>IF(OR(A19=$A$1,A19=$A$2,A19=$A$3),1500/F29,0)+0.3</f>
        <v/>
      </c>
      <c r="O19" s="532">
        <f>L19+N19</f>
        <v/>
      </c>
      <c r="P19" s="531">
        <f>IF(W19="Verbano",30/60*500*K19/20000,(1500+3000)/30000)</f>
        <v/>
      </c>
      <c r="Q19" s="535" t="n"/>
      <c r="R19" s="288" t="n"/>
      <c r="S19" s="532">
        <f>SUM(O19:R19)</f>
        <v/>
      </c>
      <c r="T19" s="533">
        <f>S19/(1-($S$3))</f>
        <v/>
      </c>
      <c r="U19" s="118" t="n">
        <v>0.18</v>
      </c>
      <c r="W19" s="67" t="inlineStr">
        <is>
          <t>Gefo</t>
        </is>
      </c>
    </row>
    <row r="20" ht="16.5" customHeight="1" s="430" thickBot="1">
      <c r="A20" s="289">
        <f>A30</f>
        <v/>
      </c>
      <c r="B20" s="271">
        <f>B30</f>
        <v/>
      </c>
      <c r="C20" s="272" t="n">
        <v>1</v>
      </c>
      <c r="D20" s="271">
        <f>C30</f>
        <v/>
      </c>
      <c r="E20" s="272" t="n">
        <v>1.25</v>
      </c>
      <c r="F20" s="529">
        <f>C20*E20*(D20/1000)*(B20/1000)</f>
        <v/>
      </c>
      <c r="G20" s="286">
        <f>VLOOKUP(D20,$D$5:$G$13,4,0)</f>
        <v/>
      </c>
      <c r="H20" s="530">
        <f>$H$5</f>
        <v/>
      </c>
      <c r="I20" s="530">
        <f>IF(W20="Verbano",0.8,IF(W20="Polifilm","X",H20/G20+0.2))</f>
        <v/>
      </c>
      <c r="J20" s="276">
        <f>VLOOKUP(A20,'[2]Raw material summary'!A:B,2,0)</f>
        <v/>
      </c>
      <c r="K20" s="531">
        <f>J20+I20</f>
        <v/>
      </c>
      <c r="L20" s="531">
        <f>K20*(1+M20)</f>
        <v/>
      </c>
      <c r="M20" s="278">
        <f>IF(F30&gt;=$D$36,$E$37,IF(F30&gt;=$C$36,$D$37,IF(F30&gt;=$B$36,$C$37,$B$37)))+IF(OR(D20=25,D20=20),$B$41,IF(D20=30,$B$40,0))+1400/B30-1</f>
        <v/>
      </c>
      <c r="N20" s="531">
        <f>IF(OR(A20=$A$1,A20=$A$2,A20=$A$3),1500/F30,0)+0.3</f>
        <v/>
      </c>
      <c r="O20" s="532">
        <f>L20+N20</f>
        <v/>
      </c>
      <c r="P20" s="531">
        <f>IF(W20="Verbano",30/60*500*K20/20000,(1500+3000)/30000)</f>
        <v/>
      </c>
      <c r="Q20" s="535" t="n"/>
      <c r="R20" s="288" t="n"/>
      <c r="S20" s="532">
        <f>SUM(O20:R20)</f>
        <v/>
      </c>
      <c r="T20" s="533">
        <f>S20/(1-($S$3))</f>
        <v/>
      </c>
      <c r="W20" s="67" t="inlineStr">
        <is>
          <t>Gefo</t>
        </is>
      </c>
    </row>
    <row r="21">
      <c r="E21" s="153" t="n"/>
      <c r="F21" s="153" t="n"/>
      <c r="G21" s="153" t="n"/>
      <c r="H21" s="153" t="n"/>
      <c r="K21" s="536" t="n"/>
      <c r="L21" s="537" t="n"/>
    </row>
    <row r="22" ht="15.75" customHeight="1" s="430" thickBot="1">
      <c r="G22" s="291" t="n"/>
      <c r="H22" s="292" t="inlineStr">
        <is>
          <t>KG</t>
        </is>
      </c>
      <c r="I22" s="293">
        <f>+I25*1.08</f>
        <v/>
      </c>
      <c r="J22" s="293" t="n"/>
      <c r="K22" s="293" t="n"/>
      <c r="L22" s="292" t="inlineStr">
        <is>
          <t>ML</t>
        </is>
      </c>
      <c r="M22" s="293" t="n"/>
      <c r="N22" s="293" t="n"/>
      <c r="O22" s="293" t="n"/>
    </row>
    <row r="23">
      <c r="F23" s="67" t="n"/>
      <c r="G23" s="294" t="n"/>
      <c r="H23" s="295" t="inlineStr">
        <is>
          <t>Eur</t>
        </is>
      </c>
      <c r="I23" s="296" t="n"/>
      <c r="J23" s="297" t="inlineStr">
        <is>
          <t>USD</t>
        </is>
      </c>
      <c r="K23" s="298" t="n"/>
      <c r="L23" s="295" t="inlineStr">
        <is>
          <t>Eur</t>
        </is>
      </c>
      <c r="M23" s="296" t="n"/>
      <c r="N23" s="297" t="inlineStr">
        <is>
          <t>USD</t>
        </is>
      </c>
      <c r="O23" s="298" t="n"/>
      <c r="P23" s="447" t="inlineStr">
        <is>
          <t>Impression Prices</t>
        </is>
      </c>
    </row>
    <row r="24">
      <c r="A24" s="67" t="inlineStr">
        <is>
          <t>Type of film</t>
        </is>
      </c>
      <c r="B24" s="67" t="inlineStr">
        <is>
          <t>Width</t>
        </is>
      </c>
      <c r="C24" s="67" t="inlineStr">
        <is>
          <t>Thickness</t>
        </is>
      </c>
      <c r="D24" s="67" t="inlineStr">
        <is>
          <t>Printed?</t>
        </is>
      </c>
      <c r="E24" s="67" t="inlineStr">
        <is>
          <t>Slitting?</t>
        </is>
      </c>
      <c r="F24" s="67" t="inlineStr">
        <is>
          <t>Weight</t>
        </is>
      </c>
      <c r="G24" s="299" t="inlineStr">
        <is>
          <t>Length</t>
        </is>
      </c>
      <c r="H24" s="300" t="inlineStr">
        <is>
          <t>Cost</t>
        </is>
      </c>
      <c r="I24" s="301" t="inlineStr">
        <is>
          <t>Price</t>
        </is>
      </c>
      <c r="J24" s="302" t="inlineStr">
        <is>
          <t>Cost</t>
        </is>
      </c>
      <c r="K24" s="303" t="inlineStr">
        <is>
          <t>Price</t>
        </is>
      </c>
      <c r="L24" s="300" t="inlineStr">
        <is>
          <t>Cost</t>
        </is>
      </c>
      <c r="M24" s="301" t="inlineStr">
        <is>
          <t>Price</t>
        </is>
      </c>
      <c r="N24" s="302" t="inlineStr">
        <is>
          <t>Cost</t>
        </is>
      </c>
      <c r="O24" s="303" t="inlineStr">
        <is>
          <t>Price</t>
        </is>
      </c>
      <c r="P24" s="304" t="inlineStr">
        <is>
          <t>Repeat</t>
        </is>
      </c>
      <c r="Q24" s="305" t="inlineStr">
        <is>
          <t>Impression in ML</t>
        </is>
      </c>
      <c r="R24" s="306" t="inlineStr">
        <is>
          <t>Number of Impression</t>
        </is>
      </c>
      <c r="S24" s="307" t="inlineStr">
        <is>
          <t>Ml</t>
        </is>
      </c>
      <c r="T24" s="307" t="inlineStr">
        <is>
          <t>Cost per Imp</t>
        </is>
      </c>
      <c r="U24" s="307" t="inlineStr">
        <is>
          <t>Price per Imp</t>
        </is>
      </c>
    </row>
    <row r="25">
      <c r="A25" s="154" t="inlineStr">
        <is>
          <t>Tipa302FG</t>
        </is>
      </c>
      <c r="B25" s="154" t="n">
        <v>406</v>
      </c>
      <c r="C25" s="154" t="n">
        <v>35</v>
      </c>
      <c r="D25" s="154" t="inlineStr">
        <is>
          <t>Yes</t>
        </is>
      </c>
      <c r="E25" s="154" t="inlineStr">
        <is>
          <t>No</t>
        </is>
      </c>
      <c r="F25" s="538">
        <f>G25*F15</f>
        <v/>
      </c>
      <c r="G25" s="299" t="n">
        <v>1800000</v>
      </c>
      <c r="H25" s="309">
        <f>S15</f>
        <v/>
      </c>
      <c r="I25" s="310">
        <f>T15</f>
        <v/>
      </c>
      <c r="J25" s="539">
        <f>H25*USD</f>
        <v/>
      </c>
      <c r="K25" s="540">
        <f>I25*USD</f>
        <v/>
      </c>
      <c r="L25" s="541">
        <f>H25*$F15</f>
        <v/>
      </c>
      <c r="M25" s="542">
        <f>I25*$F15</f>
        <v/>
      </c>
      <c r="N25" s="543">
        <f>L25*USD</f>
        <v/>
      </c>
      <c r="O25" s="540">
        <f>M25*USD</f>
        <v/>
      </c>
      <c r="P25" s="316" t="n">
        <v>60</v>
      </c>
      <c r="Q25" s="317">
        <f>1000/P25</f>
        <v/>
      </c>
      <c r="R25" s="318" t="n">
        <v>30000000</v>
      </c>
      <c r="S25" s="319">
        <f>R25/Q25</f>
        <v/>
      </c>
      <c r="T25" s="544">
        <f>L25/Q25</f>
        <v/>
      </c>
      <c r="U25" s="544">
        <f>M25/Q25</f>
        <v/>
      </c>
      <c r="W25" s="306">
        <f>F25*K25</f>
        <v/>
      </c>
      <c r="X25" s="536" t="n"/>
      <c r="Y25" s="536" t="n"/>
    </row>
    <row r="26">
      <c r="A26" s="154" t="inlineStr">
        <is>
          <t>Tipa302FG</t>
        </is>
      </c>
      <c r="B26" s="154" t="n">
        <v>434</v>
      </c>
      <c r="C26" s="154" t="n">
        <v>35</v>
      </c>
      <c r="D26" s="154" t="inlineStr">
        <is>
          <t>Yes</t>
        </is>
      </c>
      <c r="E26" s="154" t="inlineStr">
        <is>
          <t>No</t>
        </is>
      </c>
      <c r="F26" s="538">
        <f>G26*F16</f>
        <v/>
      </c>
      <c r="G26" s="299">
        <f>G25/2</f>
        <v/>
      </c>
      <c r="H26" s="309">
        <f>S16</f>
        <v/>
      </c>
      <c r="I26" s="310">
        <f>T16</f>
        <v/>
      </c>
      <c r="J26" s="539">
        <f>H26*USD</f>
        <v/>
      </c>
      <c r="K26" s="540">
        <f>I26*USD</f>
        <v/>
      </c>
      <c r="L26" s="541">
        <f>H26*$F16</f>
        <v/>
      </c>
      <c r="M26" s="542">
        <f>I26*$F16</f>
        <v/>
      </c>
      <c r="N26" s="543">
        <f>L26*USD</f>
        <v/>
      </c>
      <c r="O26" s="540">
        <f>M26*USD</f>
        <v/>
      </c>
      <c r="P26" s="316" t="n">
        <v>60</v>
      </c>
      <c r="Q26" s="317">
        <f>1000/P26</f>
        <v/>
      </c>
      <c r="R26" s="318">
        <f>30000000/2</f>
        <v/>
      </c>
      <c r="S26" s="319">
        <f>R26/Q26</f>
        <v/>
      </c>
      <c r="T26" s="544">
        <f>L26/Q26</f>
        <v/>
      </c>
      <c r="U26" s="544">
        <f>M26/Q26</f>
        <v/>
      </c>
      <c r="W26" s="319" t="n"/>
      <c r="Y26" s="536" t="n"/>
    </row>
    <row r="27">
      <c r="A27" s="154" t="inlineStr">
        <is>
          <t>Tipa312W</t>
        </is>
      </c>
      <c r="B27" s="154" t="n">
        <v>1270</v>
      </c>
      <c r="C27" s="154" t="n">
        <v>35</v>
      </c>
      <c r="D27" s="154" t="inlineStr">
        <is>
          <t>No</t>
        </is>
      </c>
      <c r="E27" s="154" t="inlineStr">
        <is>
          <t>No</t>
        </is>
      </c>
      <c r="F27" s="538" t="n">
        <v>3000</v>
      </c>
      <c r="G27" s="299">
        <f>F27/F17</f>
        <v/>
      </c>
      <c r="H27" s="309">
        <f>S17</f>
        <v/>
      </c>
      <c r="I27" s="310">
        <f>T17</f>
        <v/>
      </c>
      <c r="J27" s="539">
        <f>H27*USD</f>
        <v/>
      </c>
      <c r="K27" s="540">
        <f>I27*USD</f>
        <v/>
      </c>
      <c r="L27" s="541">
        <f>H27*$F17</f>
        <v/>
      </c>
      <c r="M27" s="542">
        <f>I27*$F17</f>
        <v/>
      </c>
      <c r="N27" s="543">
        <f>L27*USD</f>
        <v/>
      </c>
      <c r="O27" s="540">
        <f>M27*USD</f>
        <v/>
      </c>
      <c r="P27" s="316" t="n">
        <v>300</v>
      </c>
      <c r="Q27" s="317">
        <f>1000/P27</f>
        <v/>
      </c>
      <c r="R27" s="318" t="n">
        <v>2000000</v>
      </c>
      <c r="S27" s="319">
        <f>R27/Q27</f>
        <v/>
      </c>
      <c r="T27" s="544">
        <f>L27/Q27</f>
        <v/>
      </c>
      <c r="U27" s="544">
        <f>M27/Q27</f>
        <v/>
      </c>
      <c r="W27" s="319" t="n"/>
      <c r="Y27" s="536" t="n"/>
    </row>
    <row r="28">
      <c r="A28" s="154" t="inlineStr">
        <is>
          <t>Tipa312W</t>
        </is>
      </c>
      <c r="B28" s="154" t="n">
        <v>750</v>
      </c>
      <c r="C28" s="154" t="n">
        <v>35</v>
      </c>
      <c r="D28" s="154" t="inlineStr">
        <is>
          <t>No</t>
        </is>
      </c>
      <c r="E28" s="154" t="inlineStr">
        <is>
          <t>No</t>
        </is>
      </c>
      <c r="F28" s="538" t="n">
        <v>7000</v>
      </c>
      <c r="G28" s="299">
        <f>F28/F18</f>
        <v/>
      </c>
      <c r="H28" s="309">
        <f>S18</f>
        <v/>
      </c>
      <c r="I28" s="310">
        <f>T18</f>
        <v/>
      </c>
      <c r="J28" s="539">
        <f>H28*USD</f>
        <v/>
      </c>
      <c r="K28" s="540">
        <f>I28*USD</f>
        <v/>
      </c>
      <c r="L28" s="541">
        <f>H28*$F18</f>
        <v/>
      </c>
      <c r="M28" s="542">
        <f>I28*$F18</f>
        <v/>
      </c>
      <c r="N28" s="543">
        <f>L28*USD</f>
        <v/>
      </c>
      <c r="O28" s="540">
        <f>M28*USD</f>
        <v/>
      </c>
      <c r="P28" s="154" t="n"/>
      <c r="R28" s="155" t="n"/>
      <c r="S28" s="155" t="n"/>
      <c r="W28" s="155" t="n"/>
    </row>
    <row r="29">
      <c r="A29" s="154" t="inlineStr">
        <is>
          <t>Tipa312W</t>
        </is>
      </c>
      <c r="B29" s="154" t="n">
        <v>1020</v>
      </c>
      <c r="C29" s="154" t="n">
        <v>35</v>
      </c>
      <c r="D29" s="154" t="inlineStr">
        <is>
          <t>No</t>
        </is>
      </c>
      <c r="E29" s="154" t="inlineStr">
        <is>
          <t>No</t>
        </is>
      </c>
      <c r="F29" s="538" t="n">
        <v>7000</v>
      </c>
      <c r="G29" s="299">
        <f>F29/F19</f>
        <v/>
      </c>
      <c r="H29" s="309">
        <f>S19</f>
        <v/>
      </c>
      <c r="I29" s="310">
        <f>T19</f>
        <v/>
      </c>
      <c r="J29" s="539">
        <f>H29*USD</f>
        <v/>
      </c>
      <c r="K29" s="540">
        <f>I29*USD</f>
        <v/>
      </c>
      <c r="L29" s="541">
        <f>H29*$F19</f>
        <v/>
      </c>
      <c r="M29" s="542">
        <f>I29*$F19</f>
        <v/>
      </c>
      <c r="N29" s="543">
        <f>L29*USD</f>
        <v/>
      </c>
      <c r="O29" s="540">
        <f>M29*USD</f>
        <v/>
      </c>
      <c r="P29" s="154" t="n"/>
      <c r="R29" s="155" t="n"/>
      <c r="S29" s="155" t="n"/>
      <c r="W29" s="155" t="n"/>
    </row>
    <row r="30" ht="15.75" customHeight="1" s="430" thickBot="1">
      <c r="A30" s="154" t="inlineStr">
        <is>
          <t>Tipa312W</t>
        </is>
      </c>
      <c r="B30" s="154" t="n">
        <v>1270</v>
      </c>
      <c r="C30" s="154" t="n">
        <v>35</v>
      </c>
      <c r="D30" s="154" t="inlineStr">
        <is>
          <t>No</t>
        </is>
      </c>
      <c r="E30" s="154" t="inlineStr">
        <is>
          <t>No</t>
        </is>
      </c>
      <c r="F30" s="538" t="n">
        <v>7000</v>
      </c>
      <c r="G30" s="299">
        <f>F30/F20</f>
        <v/>
      </c>
      <c r="H30" s="321">
        <f>S20</f>
        <v/>
      </c>
      <c r="I30" s="322">
        <f>T20</f>
        <v/>
      </c>
      <c r="J30" s="545">
        <f>H30*USD</f>
        <v/>
      </c>
      <c r="K30" s="546">
        <f>I30*USD</f>
        <v/>
      </c>
      <c r="L30" s="547">
        <f>H30*$F20</f>
        <v/>
      </c>
      <c r="M30" s="548">
        <f>I30*$F20</f>
        <v/>
      </c>
      <c r="N30" s="549">
        <f>L30*USD</f>
        <v/>
      </c>
      <c r="O30" s="546">
        <f>M30*USD</f>
        <v/>
      </c>
      <c r="P30" s="154" t="n"/>
      <c r="R30" s="155" t="n"/>
      <c r="S30" s="155" t="n"/>
      <c r="W30" s="155" t="n"/>
    </row>
    <row r="31">
      <c r="E31" s="153" t="n"/>
      <c r="F31" s="153" t="n"/>
      <c r="G31" s="153" t="n"/>
      <c r="H31" s="153" t="n"/>
      <c r="I31" s="153" t="n"/>
      <c r="J31" s="153" t="n"/>
      <c r="K31" s="153" t="n"/>
      <c r="L31" s="153" t="n"/>
      <c r="R31" s="155" t="n"/>
      <c r="S31" s="155" t="n"/>
      <c r="W31" s="155" t="n"/>
    </row>
    <row r="32">
      <c r="B32">
        <f>B25*21</f>
        <v/>
      </c>
      <c r="C32">
        <f>760/C25</f>
        <v/>
      </c>
      <c r="E32" s="153" t="n"/>
      <c r="F32" s="153" t="n"/>
      <c r="G32" s="153">
        <f>G25/C32</f>
        <v/>
      </c>
      <c r="H32" s="153" t="n"/>
    </row>
    <row r="33">
      <c r="A33" s="328" t="inlineStr">
        <is>
          <t>Paramters</t>
        </is>
      </c>
      <c r="B33" s="153" t="n"/>
      <c r="C33">
        <f>760/C26</f>
        <v/>
      </c>
      <c r="D33" s="153" t="n"/>
      <c r="E33" s="153" t="n"/>
      <c r="F33" s="153" t="n"/>
      <c r="G33" s="153">
        <f>G26/C33</f>
        <v/>
      </c>
      <c r="H33" s="153" t="n"/>
    </row>
    <row r="34">
      <c r="D34" s="153" t="n"/>
      <c r="E34" s="153" t="n"/>
      <c r="F34" s="153" t="n"/>
      <c r="G34" s="153" t="n"/>
      <c r="H34" s="153" t="n"/>
    </row>
    <row r="36">
      <c r="A36" s="67" t="inlineStr">
        <is>
          <t>Weight</t>
        </is>
      </c>
      <c r="B36" s="67" t="n">
        <v>1000</v>
      </c>
      <c r="C36" s="67" t="n">
        <v>2000</v>
      </c>
      <c r="D36" s="67" t="n">
        <v>7000</v>
      </c>
      <c r="E36" s="67" t="n"/>
    </row>
    <row r="37">
      <c r="A37" s="67" t="inlineStr">
        <is>
          <t>Dep</t>
        </is>
      </c>
      <c r="B37" s="329" t="n">
        <v>0.25</v>
      </c>
      <c r="C37" s="329" t="n">
        <v>0.2</v>
      </c>
      <c r="D37" s="329" t="n">
        <v>0.15</v>
      </c>
      <c r="E37" s="550" t="n">
        <v>0.125</v>
      </c>
    </row>
    <row r="39">
      <c r="A39" t="inlineStr">
        <is>
          <t>Dep if below 30 Micron</t>
        </is>
      </c>
    </row>
    <row r="40">
      <c r="A40" s="49" t="n">
        <v>30</v>
      </c>
      <c r="B40" s="49" t="n">
        <v>0.05</v>
      </c>
    </row>
    <row r="41">
      <c r="A41" s="49" t="inlineStr">
        <is>
          <t>20,25</t>
        </is>
      </c>
      <c r="B41" s="49" t="n">
        <v>0.075</v>
      </c>
    </row>
    <row r="43">
      <c r="A43" t="inlineStr">
        <is>
          <t>Yes</t>
        </is>
      </c>
    </row>
    <row r="44">
      <c r="A44" t="inlineStr">
        <is>
          <t>No</t>
        </is>
      </c>
    </row>
  </sheetData>
  <mergeCells count="2">
    <mergeCell ref="P23:U23"/>
    <mergeCell ref="I3:J3"/>
  </mergeCells>
  <dataValidations count="2">
    <dataValidation sqref="D25:E30" showDropDown="0" showInputMessage="1" showErrorMessage="1" allowBlank="1" type="list">
      <formula1>$A$43:$A$44</formula1>
    </dataValidation>
    <dataValidation sqref="W15:W20" showDropDown="0" showInputMessage="1" showErrorMessage="1" allowBlank="1" type="list">
      <formula1>$AB$15:$AB$17</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404"/>
  <sheetViews>
    <sheetView topLeftCell="D1" zoomScale="80" zoomScaleNormal="80" workbookViewId="0">
      <pane ySplit="1" topLeftCell="A2" activePane="bottomLeft" state="frozen"/>
      <selection pane="bottomLeft" activeCell="C3" sqref="C3"/>
    </sheetView>
  </sheetViews>
  <sheetFormatPr baseColWidth="8" defaultRowHeight="15"/>
  <cols>
    <col width="15.42578125" bestFit="1" customWidth="1" style="49" min="1" max="1"/>
    <col outlineLevel="1" width="19.42578125" customWidth="1" style="49" min="2" max="2"/>
    <col outlineLevel="1" width="15.42578125" customWidth="1" style="49" min="3" max="3"/>
    <col outlineLevel="1" width="18" customWidth="1" style="49" min="4" max="5"/>
    <col outlineLevel="1" width="15.42578125" customWidth="1" style="50" min="6" max="7"/>
    <col outlineLevel="1" width="9.85546875" bestFit="1" customWidth="1" style="523" min="8" max="8"/>
    <col outlineLevel="1" width="14.85546875" customWidth="1" style="63" min="9" max="9"/>
    <col outlineLevel="1" width="43.5703125" customWidth="1" style="72" min="10" max="10"/>
    <col width="2.5703125" customWidth="1" style="430" min="11" max="11"/>
    <col outlineLevel="1" width="14" customWidth="1" style="430" min="12" max="12"/>
    <col outlineLevel="1" width="19.28515625" customWidth="1" style="63" min="13" max="13"/>
    <col width="18" customWidth="1" style="63" min="14" max="14"/>
    <col outlineLevel="1" width="39.5703125" customWidth="1" style="63" min="15" max="15"/>
    <col width="2.5703125" customWidth="1" style="430" min="16" max="16"/>
    <col width="14" bestFit="1" customWidth="1" style="430" min="17" max="17"/>
    <col width="13.28515625" customWidth="1" style="430" min="18" max="19"/>
    <col width="11.7109375" bestFit="1" customWidth="1" style="430" min="20" max="20"/>
  </cols>
  <sheetData>
    <row r="1" ht="30.75" customHeight="1" s="430" thickBot="1">
      <c r="A1" s="37" t="inlineStr">
        <is>
          <t>Film</t>
        </is>
      </c>
      <c r="B1" s="38" t="inlineStr">
        <is>
          <t>Ext</t>
        </is>
      </c>
      <c r="C1" s="38" t="inlineStr">
        <is>
          <t>Material</t>
        </is>
      </c>
      <c r="D1" s="38" t="inlineStr">
        <is>
          <t>Grade</t>
        </is>
      </c>
      <c r="E1" s="38" t="inlineStr">
        <is>
          <t>Serial Number</t>
        </is>
      </c>
      <c r="F1" s="39" t="inlineStr">
        <is>
          <t>Resin</t>
        </is>
      </c>
      <c r="G1" s="39" t="inlineStr">
        <is>
          <t>Thickness (µ)</t>
        </is>
      </c>
      <c r="H1" s="39" t="inlineStr">
        <is>
          <t>QTY</t>
        </is>
      </c>
      <c r="I1" s="39" t="inlineStr">
        <is>
          <t>Price (€/kg)</t>
        </is>
      </c>
      <c r="J1" s="39" t="inlineStr">
        <is>
          <t>Price Calculated(€) Thickness &amp; QTY related</t>
        </is>
      </c>
      <c r="K1" s="6" t="n"/>
      <c r="L1" s="11" t="inlineStr">
        <is>
          <t>Film</t>
        </is>
      </c>
      <c r="M1" s="12" t="inlineStr">
        <is>
          <t>Grade</t>
        </is>
      </c>
      <c r="N1" s="12" t="inlineStr">
        <is>
          <t>Serial Number</t>
        </is>
      </c>
      <c r="O1" s="13" t="inlineStr">
        <is>
          <t>Price Calculated(€) Thickness &amp; QTY related</t>
        </is>
      </c>
      <c r="P1" s="6" t="n"/>
      <c r="Q1" s="78" t="inlineStr">
        <is>
          <t>Film</t>
        </is>
      </c>
      <c r="R1" s="79" t="inlineStr">
        <is>
          <t>Price (€/kg)</t>
        </is>
      </c>
      <c r="S1" s="80" t="inlineStr">
        <is>
          <t>Price ($/kg)</t>
        </is>
      </c>
    </row>
    <row r="2" ht="15.75" customHeight="1" s="430" thickTop="1">
      <c r="A2" s="40" t="inlineStr">
        <is>
          <t>TIPA 302FG</t>
        </is>
      </c>
      <c r="B2" s="41" t="inlineStr">
        <is>
          <t>Ext. A (Out - Chillroll)</t>
        </is>
      </c>
      <c r="C2" s="41" t="inlineStr">
        <is>
          <t>PBSA</t>
        </is>
      </c>
      <c r="D2" s="41">
        <f>IF(C2="","",IFERROR(_xlfn.XLOOKUP(C2,HELPER!$A$2:$A$76,HELPER!$B$2:$B$76,""),D2))</f>
        <v/>
      </c>
      <c r="E2" s="41">
        <f>IFERROR(_xlfn.XLOOKUP(D2,HELPER!$B:$B,HELPER!$C:$C,""),"")</f>
        <v/>
      </c>
      <c r="F2" s="42">
        <f>IFERROR(_xlfn.XLOOKUP(D2,HELPER!$B:$B,HELPER!$D:$D,""),"")</f>
        <v/>
      </c>
      <c r="G2" s="42" t="n">
        <v>8</v>
      </c>
      <c r="H2" s="551" t="n">
        <v>0.826</v>
      </c>
      <c r="I2" s="36">
        <f>IF(AND(H2&lt;&gt;"",IFERROR(_xlfn.XLOOKUP(D2,HELPER!$B:$B,HELPER!$E:$E,""),"")=""),"Missing price",IFERROR(_xlfn.XLOOKUP(D2,HELPER!$B:$B,HELPER!$E:$E,"")," "))</f>
        <v/>
      </c>
      <c r="J2" s="71">
        <f>IFERROR(H2*(IF(G2=8,I2*HELPER!$G$2,BOM!I2*HELPER!$G$3))," ")</f>
        <v/>
      </c>
      <c r="K2" s="7" t="n"/>
      <c r="L2" s="14">
        <f t="array" ref="L2">IFERROR(_xlfn.LET(_xlpm.pairs,_xlfn._xlws.FILTER($A$2:$D$391,($A$2:$A$391&lt;&gt;"")*(TRIM($D$2:$D$391)&lt;&gt;"")),_xlpm.uniquePairs,_xlfn.UNIQUE(_xlfn.HSTACK(INDEX(_xlpm.pairs,,1),INDEX(_xlpm.pairs,,4))),_xlpm.sortedPairs,_xlfn._xlws.SORT(_xlpm.uniquePairs,1,1),IF(ROW()-1&lt;=ROWS(_xlpm.sortedPairs),INDEX(_xlpm.sortedPairs,ROW()-1,1),"")),"")</f>
        <v/>
      </c>
      <c r="M2" s="15">
        <f t="array" ref="M2">IFERROR(_xlfn.LET(_xlpm.pairs,_xlfn._xlws.FILTER($A$2:$D$391,($A$2:$A$391&lt;&gt;"")*(TRIM($D$2:$D$391)&lt;&gt;"")),_xlpm.uniquePairs,_xlfn.UNIQUE(_xlfn.HSTACK(INDEX(_xlpm.pairs,,1),INDEX(_xlpm.pairs,,4))),_xlpm.sortedPairs,_xlfn._xlws.SORT(_xlpm.uniquePairs,1,1),IF(ROW()-1&lt;=ROWS(_xlpm.sortedPairs),INDEX(_xlpm.sortedPairs,ROW()-1,2),"")),"")</f>
        <v/>
      </c>
      <c r="N2" s="15">
        <f t="array" ref="N2">IF(OR(L2="",M2=""),"",IFERROR(INDEX($E$2:$E$391,MATCH(1,($A$2:$A$391=L2)*($D$2:$D$391=M2),0)),""))</f>
        <v/>
      </c>
      <c r="O2" s="69">
        <f>IF(OR(L2="",M2=""),"",SUMIFS($J$2:$J$391,$A$2:$A$391,L2,$D$2:$D$391,M2))</f>
        <v/>
      </c>
      <c r="P2" s="7" t="n"/>
      <c r="Q2" s="34">
        <f t="array" ref="Q2">IFERROR(INDEX($L$2:$L$391,MATCH(0,COUNTIF($Q$1:Q1,$L$2:$L$391)+IF($L$2:$L$391="",1,0),0)),"")</f>
        <v/>
      </c>
      <c r="R2" s="552">
        <f>IF(Q2="","",SUMIF($L$2:$L$391,Q2,$O$2:$O$391))</f>
        <v/>
      </c>
      <c r="S2" s="553">
        <f>IFERROR(Table3[[#This Row],[Price (€/kg)]]*HELPER!$AK$2," ")</f>
        <v/>
      </c>
    </row>
    <row r="3">
      <c r="A3" s="40" t="inlineStr">
        <is>
          <t>TIPA 302FG</t>
        </is>
      </c>
      <c r="B3" s="41" t="inlineStr">
        <is>
          <t>Ext. A (Out - Chillroll)</t>
        </is>
      </c>
      <c r="C3" s="41" t="inlineStr">
        <is>
          <t>PLA</t>
        </is>
      </c>
      <c r="D3" s="41">
        <f>IF(C3="","",IFERROR(_xlfn.XLOOKUP(C3,HELPER!$A$2:$A$76,HELPER!$B$2:$B$76,""),D3))</f>
        <v/>
      </c>
      <c r="E3" s="41">
        <f>IFERROR(_xlfn.XLOOKUP(D3,HELPER!$B:$B,HELPER!$C:$C,""),"")</f>
        <v/>
      </c>
      <c r="F3" s="42">
        <f>IFERROR(_xlfn.XLOOKUP(D3,HELPER!$B:$B,HELPER!$D:$D,""),"")</f>
        <v/>
      </c>
      <c r="G3" s="42" t="n">
        <v>8</v>
      </c>
      <c r="H3" s="551" t="n">
        <v>0.144</v>
      </c>
      <c r="I3" s="36">
        <f>IF(AND(H3&lt;&gt;"",IFERROR(_xlfn.XLOOKUP(D3,HELPER!$B:$B,HELPER!$E:$E,""),"")=""),"Missing price",IFERROR(_xlfn.XLOOKUP(D3,HELPER!$B:$B,HELPER!$E:$E,"")," "))</f>
        <v/>
      </c>
      <c r="J3" s="71">
        <f>IFERROR(H3*(IF(G3=8,I3*HELPER!$G$2,BOM!I3*HELPER!$G$3))," ")</f>
        <v/>
      </c>
      <c r="K3" s="6" t="n"/>
      <c r="L3" s="16">
        <f t="array" ref="L3">IFERROR(_xlfn.LET(_xlpm.pairs,_xlfn._xlws.FILTER($A$2:$D$391,($A$2:$A$391&lt;&gt;"")*(TRIM($D$2:$D$391)&lt;&gt;"")),_xlpm.uniquePairs,_xlfn.UNIQUE(_xlfn.HSTACK(INDEX(_xlpm.pairs,,1),INDEX(_xlpm.pairs,,4))),_xlpm.sortedPairs,_xlfn._xlws.SORT(_xlpm.uniquePairs,1,1),IF(ROW()-1&lt;=ROWS(_xlpm.sortedPairs),INDEX(_xlpm.sortedPairs,ROW()-1,1),"")),"")</f>
        <v/>
      </c>
      <c r="M3" s="17">
        <f t="array" ref="M3">IFERROR(_xlfn.LET(_xlpm.pairs,_xlfn._xlws.FILTER($A$2:$D$391,($A$2:$A$391&lt;&gt;"")*(TRIM($D$2:$D$391)&lt;&gt;"")),_xlpm.uniquePairs,_xlfn.UNIQUE(_xlfn.HSTACK(INDEX(_xlpm.pairs,,1),INDEX(_xlpm.pairs,,4))),_xlpm.sortedPairs,_xlfn._xlws.SORT(_xlpm.uniquePairs,1,1),IF(ROW()-1&lt;=ROWS(_xlpm.sortedPairs),INDEX(_xlpm.sortedPairs,ROW()-1,2),"")),"")</f>
        <v/>
      </c>
      <c r="N3" s="17">
        <f t="array" ref="N3">IF(OR(L3="",M3=""),"",IFERROR(INDEX($E$2:$E$391,MATCH(1,($A$2:$A$391=L3)*($D$2:$D$391=M3),0)),""))</f>
        <v/>
      </c>
      <c r="O3" s="70">
        <f>IF(OR(L3="",M3=""),"",SUMIFS($J$2:$J$391,$A$2:$A$391,L3,$D$2:$D$391,M3))</f>
        <v/>
      </c>
      <c r="P3" s="6" t="n"/>
      <c r="Q3" s="35">
        <f t="array" ref="Q3">IFERROR(INDEX($L$2:$L$391,MATCH(0,COUNTIF($Q$1:Q2,$L$2:$L$391)+IF($L$2:$L$391="",1,0),0)),"")</f>
        <v/>
      </c>
      <c r="R3" s="554">
        <f>IF(Q3="","",SUMIF($L$2:$L$391,Q3,$O$2:$O$391))</f>
        <v/>
      </c>
      <c r="S3" s="555">
        <f>IFERROR(Table3[[#This Row],[Price (€/kg)]]*HELPER!$AK$2," ")</f>
        <v/>
      </c>
    </row>
    <row r="4">
      <c r="A4" s="40" t="inlineStr">
        <is>
          <t>TIPA 302FG</t>
        </is>
      </c>
      <c r="B4" s="41" t="inlineStr">
        <is>
          <t>Ext. A (Out - Chillroll)</t>
        </is>
      </c>
      <c r="C4" s="41" t="inlineStr">
        <is>
          <t>AB-PLA</t>
        </is>
      </c>
      <c r="D4" s="41">
        <f>IF(C4="","",IFERROR(_xlfn.XLOOKUP(C4,HELPER!$A$2:$A$76,HELPER!$B$2:$B$76,""),D4))</f>
        <v/>
      </c>
      <c r="E4" s="41">
        <f>IFERROR(_xlfn.XLOOKUP(D4,HELPER!$B:$B,HELPER!$C:$C,""),"")</f>
        <v/>
      </c>
      <c r="F4" s="42">
        <f>IFERROR(_xlfn.XLOOKUP(D4,HELPER!$B:$B,HELPER!$D:$D,""),"")</f>
        <v/>
      </c>
      <c r="G4" s="42" t="n">
        <v>8</v>
      </c>
      <c r="H4" s="551" t="n">
        <v>0.015</v>
      </c>
      <c r="I4" s="36">
        <f>IF(AND(H4&lt;&gt;"",IFERROR(_xlfn.XLOOKUP(D4,HELPER!$B:$B,HELPER!$E:$E,""),"")=""),"Missing price",IFERROR(_xlfn.XLOOKUP(D4,HELPER!$B:$B,HELPER!$E:$E,"")," "))</f>
        <v/>
      </c>
      <c r="J4" s="71">
        <f>IFERROR(H4*(IF(G4=8,I4*HELPER!$G$2,BOM!I4*HELPER!$G$3))," ")</f>
        <v/>
      </c>
      <c r="K4" s="6" t="n"/>
      <c r="L4" s="14">
        <f t="array" ref="L4">IFERROR(_xlfn.LET(_xlpm.pairs,_xlfn._xlws.FILTER($A$2:$D$391,($A$2:$A$391&lt;&gt;"")*(TRIM($D$2:$D$391)&lt;&gt;"")),_xlpm.uniquePairs,_xlfn.UNIQUE(_xlfn.HSTACK(INDEX(_xlpm.pairs,,1),INDEX(_xlpm.pairs,,4))),_xlpm.sortedPairs,_xlfn._xlws.SORT(_xlpm.uniquePairs,1,1),IF(ROW()-1&lt;=ROWS(_xlpm.sortedPairs),INDEX(_xlpm.sortedPairs,ROW()-1,1),"")),"")</f>
        <v/>
      </c>
      <c r="M4" s="15">
        <f t="array" ref="M4">IFERROR(_xlfn.LET(_xlpm.pairs,_xlfn._xlws.FILTER($A$2:$D$391,($A$2:$A$391&lt;&gt;"")*(TRIM($D$2:$D$391)&lt;&gt;"")),_xlpm.uniquePairs,_xlfn.UNIQUE(_xlfn.HSTACK(INDEX(_xlpm.pairs,,1),INDEX(_xlpm.pairs,,4))),_xlpm.sortedPairs,_xlfn._xlws.SORT(_xlpm.uniquePairs,1,1),IF(ROW()-1&lt;=ROWS(_xlpm.sortedPairs),INDEX(_xlpm.sortedPairs,ROW()-1,2),"")),"")</f>
        <v/>
      </c>
      <c r="N4" s="15">
        <f t="array" ref="N4">IF(OR(L4="",M4=""),"",IFERROR(INDEX($E$2:$E$391,MATCH(1,($A$2:$A$391=L4)*($D$2:$D$391=M4),0)),""))</f>
        <v/>
      </c>
      <c r="O4" s="69">
        <f>IF(OR(L4="",M4=""),"",SUMIFS($J$2:$J$391,$A$2:$A$391,L4,$D$2:$D$391,M4))</f>
        <v/>
      </c>
      <c r="P4" s="6" t="n"/>
      <c r="Q4" s="34">
        <f t="array" ref="Q4">IFERROR(INDEX($L$2:$L$391,MATCH(0,COUNTIF($Q$1:Q3,$L$2:$L$391)+IF($L$2:$L$391="",1,0),0)),"")</f>
        <v/>
      </c>
      <c r="R4" s="552">
        <f>IF(Q4="","",SUMIF($L$2:$L$391,Q4,$O$2:$O$391))</f>
        <v/>
      </c>
      <c r="S4" s="553">
        <f>IFERROR(Table3[[#This Row],[Price (€/kg)]]*HELPER!$AK$2," ")</f>
        <v/>
      </c>
    </row>
    <row r="5">
      <c r="A5" s="40" t="inlineStr">
        <is>
          <t>TIPA 302FG</t>
        </is>
      </c>
      <c r="B5" s="41" t="inlineStr">
        <is>
          <t>Ext. A (Out - Chillroll)</t>
        </is>
      </c>
      <c r="C5" s="41" t="inlineStr">
        <is>
          <t>AO-PBS</t>
        </is>
      </c>
      <c r="D5" s="41">
        <f>IF(C5="","",IFERROR(_xlfn.XLOOKUP(C5,HELPER!$A$2:$A$76,HELPER!$B$2:$B$76,""),D5))</f>
        <v/>
      </c>
      <c r="E5" s="41">
        <f>IFERROR(_xlfn.XLOOKUP(D5,HELPER!$B:$B,HELPER!$C:$C,""),"")</f>
        <v/>
      </c>
      <c r="F5" s="42">
        <f>IFERROR(_xlfn.XLOOKUP(D5,HELPER!$B:$B,HELPER!$D:$D,""),"")</f>
        <v/>
      </c>
      <c r="G5" s="42" t="n">
        <v>8</v>
      </c>
      <c r="H5" s="551" t="n">
        <v>0.015</v>
      </c>
      <c r="I5" s="36">
        <f>IF(AND(H5&lt;&gt;"",IFERROR(_xlfn.XLOOKUP(D5,HELPER!$B:$B,HELPER!$E:$E,""),"")=""),"Missing price",IFERROR(_xlfn.XLOOKUP(D5,HELPER!$B:$B,HELPER!$E:$E,"")," "))</f>
        <v/>
      </c>
      <c r="J5" s="71">
        <f>IFERROR(H5*(IF(G5=8,I5*HELPER!$G$2,BOM!I5*HELPER!$G$3))," ")</f>
        <v/>
      </c>
      <c r="K5" s="6" t="n"/>
      <c r="L5" s="16">
        <f t="array" ref="L5">IFERROR(_xlfn.LET(_xlpm.pairs,_xlfn._xlws.FILTER($A$2:$D$391,($A$2:$A$391&lt;&gt;"")*(TRIM($D$2:$D$391)&lt;&gt;"")),_xlpm.uniquePairs,_xlfn.UNIQUE(_xlfn.HSTACK(INDEX(_xlpm.pairs,,1),INDEX(_xlpm.pairs,,4))),_xlpm.sortedPairs,_xlfn._xlws.SORT(_xlpm.uniquePairs,1,1),IF(ROW()-1&lt;=ROWS(_xlpm.sortedPairs),INDEX(_xlpm.sortedPairs,ROW()-1,1),"")),"")</f>
        <v/>
      </c>
      <c r="M5" s="17">
        <f t="array" ref="M5">IFERROR(_xlfn.LET(_xlpm.pairs,_xlfn._xlws.FILTER($A$2:$D$391,($A$2:$A$391&lt;&gt;"")*(TRIM($D$2:$D$391)&lt;&gt;"")),_xlpm.uniquePairs,_xlfn.UNIQUE(_xlfn.HSTACK(INDEX(_xlpm.pairs,,1),INDEX(_xlpm.pairs,,4))),_xlpm.sortedPairs,_xlfn._xlws.SORT(_xlpm.uniquePairs,1,1),IF(ROW()-1&lt;=ROWS(_xlpm.sortedPairs),INDEX(_xlpm.sortedPairs,ROW()-1,2),"")),"")</f>
        <v/>
      </c>
      <c r="N5" s="17">
        <f t="array" ref="N5">IF(OR(L5="",M5=""),"",IFERROR(INDEX($E$2:$E$391,MATCH(1,($A$2:$A$391=L5)*($D$2:$D$391=M5),0)),""))</f>
        <v/>
      </c>
      <c r="O5" s="70">
        <f>IF(OR(L5="",M5=""),"",SUMIFS($J$2:$J$391,$A$2:$A$391,L5,$D$2:$D$391,M5))</f>
        <v/>
      </c>
      <c r="P5" s="6" t="n"/>
      <c r="Q5" s="35">
        <f t="array" ref="Q5">IFERROR(INDEX($L$2:$L$391,MATCH(0,COUNTIF($Q$1:Q4,$L$2:$L$391)+IF($L$2:$L$391="",1,0),0)),"")</f>
        <v/>
      </c>
      <c r="R5" s="554">
        <f>IF(Q5="","",SUMIF($L$2:$L$391,Q5,$O$2:$O$391))</f>
        <v/>
      </c>
      <c r="S5" s="555">
        <f>IFERROR(Table3[[#This Row],[Price (€/kg)]]*HELPER!$AK$2," ")</f>
        <v/>
      </c>
    </row>
    <row r="6">
      <c r="A6" s="40" t="inlineStr">
        <is>
          <t>TIPA 302FG</t>
        </is>
      </c>
      <c r="B6" s="41" t="inlineStr">
        <is>
          <t>Ext. A (Out - Chillroll)</t>
        </is>
      </c>
      <c r="C6" s="43" t="n"/>
      <c r="D6" s="43">
        <f>IF(C6="","",IFERROR(_xlfn.XLOOKUP(C6,HELPER!$A$2:$A$76,HELPER!$B$2:$B$76,""),D6))</f>
        <v/>
      </c>
      <c r="E6" s="43">
        <f>IFERROR(_xlfn.XLOOKUP(D6,HELPER!$B:$B,HELPER!$C:$C,""),"")</f>
        <v/>
      </c>
      <c r="F6" s="45">
        <f>IFERROR(_xlfn.XLOOKUP(D6,HELPER!$B:$B,HELPER!$D:$D,""),"")</f>
        <v/>
      </c>
      <c r="G6" s="42" t="n">
        <v>8</v>
      </c>
      <c r="H6" s="551" t="n"/>
      <c r="I6" s="36">
        <f>IF(AND(H6&lt;&gt;"",IFERROR(_xlfn.XLOOKUP(D6,HELPER!$B:$B,HELPER!$E:$E,""),"")=""),"Missing price",IFERROR(_xlfn.XLOOKUP(D6,HELPER!$B:$B,HELPER!$E:$E,"")," "))</f>
        <v/>
      </c>
      <c r="J6" s="71">
        <f>IFERROR(H6*(IF(G6=8,I6*HELPER!$G$2,BOM!I6*HELPER!$G$3))," ")</f>
        <v/>
      </c>
      <c r="K6" s="6" t="n"/>
      <c r="L6" s="14">
        <f t="array" ref="L6">IFERROR(_xlfn.LET(_xlpm.pairs,_xlfn._xlws.FILTER($A$2:$D$391,($A$2:$A$391&lt;&gt;"")*(TRIM($D$2:$D$391)&lt;&gt;"")),_xlpm.uniquePairs,_xlfn.UNIQUE(_xlfn.HSTACK(INDEX(_xlpm.pairs,,1),INDEX(_xlpm.pairs,,4))),_xlpm.sortedPairs,_xlfn._xlws.SORT(_xlpm.uniquePairs,1,1),IF(ROW()-1&lt;=ROWS(_xlpm.sortedPairs),INDEX(_xlpm.sortedPairs,ROW()-1,1),"")),"")</f>
        <v/>
      </c>
      <c r="M6" s="15">
        <f t="array" ref="M6">IFERROR(_xlfn.LET(_xlpm.pairs,_xlfn._xlws.FILTER($A$2:$D$391,($A$2:$A$391&lt;&gt;"")*(TRIM($D$2:$D$391)&lt;&gt;"")),_xlpm.uniquePairs,_xlfn.UNIQUE(_xlfn.HSTACK(INDEX(_xlpm.pairs,,1),INDEX(_xlpm.pairs,,4))),_xlpm.sortedPairs,_xlfn._xlws.SORT(_xlpm.uniquePairs,1,1),IF(ROW()-1&lt;=ROWS(_xlpm.sortedPairs),INDEX(_xlpm.sortedPairs,ROW()-1,2),"")),"")</f>
        <v/>
      </c>
      <c r="N6" s="15">
        <f t="array" ref="N6">IF(OR(L6="",M6=""),"",IFERROR(INDEX($E$2:$E$391,MATCH(1,($A$2:$A$391=L6)*($D$2:$D$391=M6),0)),""))</f>
        <v/>
      </c>
      <c r="O6" s="69">
        <f>IF(OR(L6="",M6=""),"",SUMIFS($J$2:$J$391,$A$2:$A$391,L6,$D$2:$D$391,M6))</f>
        <v/>
      </c>
      <c r="P6" s="6" t="n"/>
      <c r="Q6" s="34">
        <f t="array" ref="Q6">IFERROR(INDEX($L$2:$L$391,MATCH(0,COUNTIF($Q$1:Q5,$L$2:$L$391)+IF($L$2:$L$391="",1,0),0)),"")</f>
        <v/>
      </c>
      <c r="R6" s="552">
        <f>IF(Q6="","",SUMIF($L$2:$L$391,Q6,$O$2:$O$391))</f>
        <v/>
      </c>
      <c r="S6" s="553">
        <f>IFERROR(Table3[[#This Row],[Price (€/kg)]]*HELPER!$AK$2," ")</f>
        <v/>
      </c>
    </row>
    <row r="7">
      <c r="A7" s="40" t="inlineStr">
        <is>
          <t>TIPA 302FG</t>
        </is>
      </c>
      <c r="B7" s="41" t="inlineStr">
        <is>
          <t>Ext. A (Out - Chillroll)</t>
        </is>
      </c>
      <c r="C7" s="43" t="n"/>
      <c r="D7" s="43">
        <f>IF(C7="","",IFERROR(_xlfn.XLOOKUP(C7,HELPER!$A$2:$A$76,HELPER!$B$2:$B$76,""),D7))</f>
        <v/>
      </c>
      <c r="E7" s="43">
        <f>IFERROR(_xlfn.XLOOKUP(D7,HELPER!$B:$B,HELPER!$C:$C,""),"")</f>
        <v/>
      </c>
      <c r="F7" s="42">
        <f>IFERROR(_xlfn.XLOOKUP(D7,HELPER!$B:$B,HELPER!$D:$D,""),"")</f>
        <v/>
      </c>
      <c r="G7" s="42" t="n">
        <v>8</v>
      </c>
      <c r="H7" s="551" t="n"/>
      <c r="I7" s="36">
        <f>IF(AND(H7&lt;&gt;"",IFERROR(_xlfn.XLOOKUP(D7,HELPER!$B:$B,HELPER!$E:$E,""),"")=""),"Missing price",IFERROR(_xlfn.XLOOKUP(D7,HELPER!$B:$B,HELPER!$E:$E,"")," "))</f>
        <v/>
      </c>
      <c r="J7" s="71">
        <f>IFERROR(H7*(IF(G7=8,I7*HELPER!$G$2,BOM!I7*HELPER!$G$3))," ")</f>
        <v/>
      </c>
      <c r="K7" s="6" t="n"/>
      <c r="L7" s="14">
        <f t="array" ref="L7">IFERROR(_xlfn.LET(_xlpm.pairs,_xlfn._xlws.FILTER($A$2:$D$391,($A$2:$A$391&lt;&gt;"")*(TRIM($D$2:$D$391)&lt;&gt;"")),_xlpm.uniquePairs,_xlfn.UNIQUE(_xlfn.HSTACK(INDEX(_xlpm.pairs,,1),INDEX(_xlpm.pairs,,4))),_xlpm.sortedPairs,_xlfn._xlws.SORT(_xlpm.uniquePairs,1,1),IF(ROW()-1&lt;=ROWS(_xlpm.sortedPairs),INDEX(_xlpm.sortedPairs,ROW()-1,1),"")),"")</f>
        <v/>
      </c>
      <c r="M7" s="15">
        <f t="array" ref="M7">IFERROR(_xlfn.LET(_xlpm.pairs,_xlfn._xlws.FILTER($A$2:$D$391,($A$2:$A$391&lt;&gt;"")*(TRIM($D$2:$D$391)&lt;&gt;"")),_xlpm.uniquePairs,_xlfn.UNIQUE(_xlfn.HSTACK(INDEX(_xlpm.pairs,,1),INDEX(_xlpm.pairs,,4))),_xlpm.sortedPairs,_xlfn._xlws.SORT(_xlpm.uniquePairs,1,1),IF(ROW()-1&lt;=ROWS(_xlpm.sortedPairs),INDEX(_xlpm.sortedPairs,ROW()-1,2),"")),"")</f>
        <v/>
      </c>
      <c r="N7" s="15">
        <f t="array" ref="N7">IF(OR(L7="",M7=""),"",IFERROR(INDEX($E$2:$E$391,MATCH(1,($A$2:$A$391=L7)*($D$2:$D$391=M7),0)),""))</f>
        <v/>
      </c>
      <c r="O7" s="69">
        <f>IF(OR(L7="",M7=""),"",SUMIFS($J$2:$J$391,$A$2:$A$391,L7,$D$2:$D$391,M7))</f>
        <v/>
      </c>
      <c r="P7" s="6" t="n"/>
      <c r="Q7" s="35">
        <f t="array" ref="Q7">IFERROR(INDEX($L$2:$L$391,MATCH(0,COUNTIF($Q$1:Q6,$L$2:$L$391)+IF($L$2:$L$391="",1,0),0)),"")</f>
        <v/>
      </c>
      <c r="R7" s="554">
        <f>IF(Q7="","",SUMIF($L$2:$L$391,Q7,$O$2:$O$391))</f>
        <v/>
      </c>
      <c r="S7" s="555">
        <f>IFERROR(Table3[[#This Row],[Price (€/kg)]]*HELPER!$AK$2," ")</f>
        <v/>
      </c>
    </row>
    <row r="8">
      <c r="A8" s="40" t="inlineStr">
        <is>
          <t>TIPA 302FG</t>
        </is>
      </c>
      <c r="B8" s="41" t="inlineStr">
        <is>
          <t>Ext. A (Out - Chillroll)</t>
        </is>
      </c>
      <c r="C8" s="43" t="n"/>
      <c r="D8" s="43">
        <f>IF(C8="","",IFERROR(_xlfn.XLOOKUP(C8,HELPER!$A$2:$A$76,HELPER!$B$2:$B$76,""),D8))</f>
        <v/>
      </c>
      <c r="E8" s="43">
        <f>IFERROR(_xlfn.XLOOKUP(D8,HELPER!$B:$B,HELPER!$C:$C,""),"")</f>
        <v/>
      </c>
      <c r="F8" s="42">
        <f>IFERROR(_xlfn.XLOOKUP(D8,HELPER!$B:$B,HELPER!$D:$D,""),"")</f>
        <v/>
      </c>
      <c r="G8" s="42" t="n">
        <v>8</v>
      </c>
      <c r="H8" s="551" t="n"/>
      <c r="I8" s="36">
        <f>IF(AND(H8&lt;&gt;"",IFERROR(_xlfn.XLOOKUP(D8,HELPER!$B:$B,HELPER!$E:$E,""),"")=""),"Missing price",IFERROR(_xlfn.XLOOKUP(D8,HELPER!$B:$B,HELPER!$E:$E,"")," "))</f>
        <v/>
      </c>
      <c r="J8" s="71">
        <f>IFERROR(H8*(IF(G8=8,I8*HELPER!$G$2,BOM!I8*HELPER!$G$3))," ")</f>
        <v/>
      </c>
      <c r="K8" s="6" t="n"/>
      <c r="L8" s="16">
        <f t="array" ref="L8">IFERROR(_xlfn.LET(_xlpm.pairs,_xlfn._xlws.FILTER($A$2:$D$391,($A$2:$A$391&lt;&gt;"")*(TRIM($D$2:$D$391)&lt;&gt;"")),_xlpm.uniquePairs,_xlfn.UNIQUE(_xlfn.HSTACK(INDEX(_xlpm.pairs,,1),INDEX(_xlpm.pairs,,4))),_xlpm.sortedPairs,_xlfn._xlws.SORT(_xlpm.uniquePairs,1,1),IF(ROW()-1&lt;=ROWS(_xlpm.sortedPairs),INDEX(_xlpm.sortedPairs,ROW()-1,1),"")),"")</f>
        <v/>
      </c>
      <c r="M8" s="17">
        <f t="array" ref="M8">IFERROR(_xlfn.LET(_xlpm.pairs,_xlfn._xlws.FILTER($A$2:$D$391,($A$2:$A$391&lt;&gt;"")*(TRIM($D$2:$D$391)&lt;&gt;"")),_xlpm.uniquePairs,_xlfn.UNIQUE(_xlfn.HSTACK(INDEX(_xlpm.pairs,,1),INDEX(_xlpm.pairs,,4))),_xlpm.sortedPairs,_xlfn._xlws.SORT(_xlpm.uniquePairs,1,1),IF(ROW()-1&lt;=ROWS(_xlpm.sortedPairs),INDEX(_xlpm.sortedPairs,ROW()-1,2),"")),"")</f>
        <v/>
      </c>
      <c r="N8" s="17">
        <f t="array" ref="N8">IF(OR(L8="",M8=""),"",IFERROR(INDEX($E$2:$E$391,MATCH(1,($A$2:$A$391=L8)*($D$2:$D$391=M8),0)),""))</f>
        <v/>
      </c>
      <c r="O8" s="70">
        <f>IF(OR(L8="",M8=""),"",SUMIFS($J$2:$J$391,$A$2:$A$391,L8,$D$2:$D$391,M8))</f>
        <v/>
      </c>
      <c r="P8" s="6" t="n"/>
      <c r="Q8" s="34">
        <f t="array" ref="Q8">IFERROR(INDEX($L$2:$L$391,MATCH(0,COUNTIF($Q$1:Q7,$L$2:$L$391)+IF($L$2:$L$391="",1,0),0)),"")</f>
        <v/>
      </c>
      <c r="R8" s="552">
        <f>IF(Q8="","",SUMIF($L$2:$L$391,Q8,$O$2:$O$391))</f>
        <v/>
      </c>
      <c r="S8" s="553">
        <f>IFERROR(Table3[[#This Row],[Price (€/kg)]]*HELPER!$AK$2," ")</f>
        <v/>
      </c>
    </row>
    <row r="9">
      <c r="A9" s="40" t="inlineStr">
        <is>
          <t>TIPA 302FG</t>
        </is>
      </c>
      <c r="B9" s="41" t="inlineStr">
        <is>
          <t>Ext. A (Out - Chillroll)</t>
        </is>
      </c>
      <c r="C9" s="43" t="n"/>
      <c r="D9" s="43">
        <f>IF(C9="","",IFERROR(_xlfn.XLOOKUP(C9,HELPER!$A$2:$A$76,HELPER!$B$2:$B$76,""),D9))</f>
        <v/>
      </c>
      <c r="E9" s="43">
        <f>IFERROR(_xlfn.XLOOKUP(D9,HELPER!$B:$B,HELPER!$C:$C,""),"")</f>
        <v/>
      </c>
      <c r="F9" s="42">
        <f>IFERROR(_xlfn.XLOOKUP(D9,HELPER!$B:$B,HELPER!$D:$D,""),"")</f>
        <v/>
      </c>
      <c r="G9" s="42" t="n">
        <v>8</v>
      </c>
      <c r="H9" s="551" t="n"/>
      <c r="I9" s="36">
        <f>IF(AND(H9&lt;&gt;"",IFERROR(_xlfn.XLOOKUP(D9,HELPER!$B:$B,HELPER!$E:$E,""),"")=""),"Missing price",IFERROR(_xlfn.XLOOKUP(D9,HELPER!$B:$B,HELPER!$E:$E,"")," "))</f>
        <v/>
      </c>
      <c r="J9" s="71">
        <f>IFERROR(H9*(IF(G9=8,I9*HELPER!$G$2,BOM!I9*HELPER!$G$3))," ")</f>
        <v/>
      </c>
      <c r="K9" s="6" t="n"/>
      <c r="L9" s="14">
        <f t="array" ref="L9">IFERROR(_xlfn.LET(_xlpm.pairs,_xlfn._xlws.FILTER($A$2:$D$391,($A$2:$A$391&lt;&gt;"")*(TRIM($D$2:$D$391)&lt;&gt;"")),_xlpm.uniquePairs,_xlfn.UNIQUE(_xlfn.HSTACK(INDEX(_xlpm.pairs,,1),INDEX(_xlpm.pairs,,4))),_xlpm.sortedPairs,_xlfn._xlws.SORT(_xlpm.uniquePairs,1,1),IF(ROW()-1&lt;=ROWS(_xlpm.sortedPairs),INDEX(_xlpm.sortedPairs,ROW()-1,1),"")),"")</f>
        <v/>
      </c>
      <c r="M9" s="15">
        <f t="array" ref="M9">IFERROR(_xlfn.LET(_xlpm.pairs,_xlfn._xlws.FILTER($A$2:$D$391,($A$2:$A$391&lt;&gt;"")*(TRIM($D$2:$D$391)&lt;&gt;"")),_xlpm.uniquePairs,_xlfn.UNIQUE(_xlfn.HSTACK(INDEX(_xlpm.pairs,,1),INDEX(_xlpm.pairs,,4))),_xlpm.sortedPairs,_xlfn._xlws.SORT(_xlpm.uniquePairs,1,1),IF(ROW()-1&lt;=ROWS(_xlpm.sortedPairs),INDEX(_xlpm.sortedPairs,ROW()-1,2),"")),"")</f>
        <v/>
      </c>
      <c r="N9" s="15">
        <f t="array" ref="N9">IF(OR(L9="",M9=""),"",IFERROR(INDEX($E$2:$E$391,MATCH(1,($A$2:$A$391=L9)*($D$2:$D$391=M9),0)),""))</f>
        <v/>
      </c>
      <c r="O9" s="69">
        <f>IF(OR(L9="",M9=""),"",SUMIFS($J$2:$J$391,$A$2:$A$391,L9,$D$2:$D$391,M9))</f>
        <v/>
      </c>
      <c r="P9" s="6" t="n"/>
      <c r="Q9" s="35">
        <f t="array" ref="Q9">IFERROR(INDEX($L$2:$L$391,MATCH(0,COUNTIF($Q$1:Q8,$L$2:$L$391)+IF($L$2:$L$391="",1,0),0)),"")</f>
        <v/>
      </c>
      <c r="R9" s="554">
        <f>IF(Q9="","",SUMIF($L$2:$L$391,Q9,$O$2:$O$391))</f>
        <v/>
      </c>
      <c r="S9" s="555">
        <f>IFERROR(Table3[[#This Row],[Price (€/kg)]]*HELPER!$AK$2," ")</f>
        <v/>
      </c>
    </row>
    <row r="10">
      <c r="A10" s="40" t="inlineStr">
        <is>
          <t>TIPA 302FG</t>
        </is>
      </c>
      <c r="B10" s="41" t="inlineStr">
        <is>
          <t>Ext. A (Out - Chillroll)</t>
        </is>
      </c>
      <c r="C10" s="43" t="n"/>
      <c r="D10" s="43">
        <f>IF(C10="","",IFERROR(_xlfn.XLOOKUP(C10,HELPER!$A$2:$A$76,HELPER!$B$2:$B$76,""),D10))</f>
        <v/>
      </c>
      <c r="E10" s="43">
        <f>IFERROR(_xlfn.XLOOKUP(D10,HELPER!$B:$B,HELPER!$C:$C,""),"")</f>
        <v/>
      </c>
      <c r="F10" s="42">
        <f>IFERROR(_xlfn.XLOOKUP(D10,HELPER!$B:$B,HELPER!$D:$D,""),"")</f>
        <v/>
      </c>
      <c r="G10" s="42" t="n">
        <v>8</v>
      </c>
      <c r="H10" s="551" t="n"/>
      <c r="I10" s="36">
        <f>IF(AND(H10&lt;&gt;"",IFERROR(_xlfn.XLOOKUP(D10,HELPER!$B:$B,HELPER!$E:$E,""),"")=""),"Missing price",IFERROR(_xlfn.XLOOKUP(D10,HELPER!$B:$B,HELPER!$E:$E,"")," "))</f>
        <v/>
      </c>
      <c r="J10" s="71">
        <f>IFERROR(H10*(IF(G10=8,I10*HELPER!$G$2,BOM!I10*HELPER!$G$3))," ")</f>
        <v/>
      </c>
      <c r="K10" s="6" t="n"/>
      <c r="L10" s="16">
        <f t="array" ref="L10">IFERROR(_xlfn.LET(_xlpm.pairs,_xlfn._xlws.FILTER($A$2:$D$391,($A$2:$A$391&lt;&gt;"")*(TRIM($D$2:$D$391)&lt;&gt;"")),_xlpm.uniquePairs,_xlfn.UNIQUE(_xlfn.HSTACK(INDEX(_xlpm.pairs,,1),INDEX(_xlpm.pairs,,4))),_xlpm.sortedPairs,_xlfn._xlws.SORT(_xlpm.uniquePairs,1,1),IF(ROW()-1&lt;=ROWS(_xlpm.sortedPairs),INDEX(_xlpm.sortedPairs,ROW()-1,1),"")),"")</f>
        <v/>
      </c>
      <c r="M10" s="17">
        <f t="array" ref="M10">IFERROR(_xlfn.LET(_xlpm.pairs,_xlfn._xlws.FILTER($A$2:$D$391,($A$2:$A$391&lt;&gt;"")*(TRIM($D$2:$D$391)&lt;&gt;"")),_xlpm.uniquePairs,_xlfn.UNIQUE(_xlfn.HSTACK(INDEX(_xlpm.pairs,,1),INDEX(_xlpm.pairs,,4))),_xlpm.sortedPairs,_xlfn._xlws.SORT(_xlpm.uniquePairs,1,1),IF(ROW()-1&lt;=ROWS(_xlpm.sortedPairs),INDEX(_xlpm.sortedPairs,ROW()-1,2),"")),"")</f>
        <v/>
      </c>
      <c r="N10" s="17">
        <f t="array" ref="N10">IF(OR(L10="",M10=""),"",IFERROR(INDEX($E$2:$E$391,MATCH(1,($A$2:$A$391=L10)*($D$2:$D$391=M10),0)),""))</f>
        <v/>
      </c>
      <c r="O10" s="70">
        <f>IF(OR(L10="",M10=""),"",SUMIFS($J$2:$J$391,$A$2:$A$391,L10,$D$2:$D$391,M10))</f>
        <v/>
      </c>
      <c r="P10" s="6" t="n"/>
      <c r="Q10" s="34">
        <f t="array" ref="Q10">IFERROR(INDEX($L$2:$L$391,MATCH(0,COUNTIF($Q$1:Q9,$L$2:$L$391)+IF($L$2:$L$391="",1,0),0)),"")</f>
        <v/>
      </c>
      <c r="R10" s="552">
        <f>IF(Q10="","",SUMIF($L$2:$L$391,Q10,$O$2:$O$391))</f>
        <v/>
      </c>
      <c r="S10" s="553">
        <f>IFERROR(Table3[[#This Row],[Price (€/kg)]]*HELPER!$AK$2," ")</f>
        <v/>
      </c>
    </row>
    <row r="11">
      <c r="A11" s="40" t="inlineStr">
        <is>
          <t>TIPA 302FG</t>
        </is>
      </c>
      <c r="B11" s="41" t="inlineStr">
        <is>
          <t>Ext. A (Out - Chillroll)</t>
        </is>
      </c>
      <c r="C11" s="43" t="n"/>
      <c r="D11" s="43">
        <f>IF(C11="","",IFERROR(_xlfn.XLOOKUP(C11,HELPER!$A$2:$A$76,HELPER!$B$2:$B$76,""),D11))</f>
        <v/>
      </c>
      <c r="E11" s="43">
        <f>IFERROR(_xlfn.XLOOKUP(D11,HELPER!$B:$B,HELPER!$C:$C,""),"")</f>
        <v/>
      </c>
      <c r="F11" s="42">
        <f>IFERROR(_xlfn.XLOOKUP(D11,HELPER!$B:$B,HELPER!$D:$D,""),"")</f>
        <v/>
      </c>
      <c r="G11" s="42" t="n">
        <v>8</v>
      </c>
      <c r="H11" s="551" t="n"/>
      <c r="I11" s="36">
        <f>IF(AND(H11&lt;&gt;"",IFERROR(_xlfn.XLOOKUP(D11,HELPER!$B:$B,HELPER!$E:$E,""),"")=""),"Missing price",IFERROR(_xlfn.XLOOKUP(D11,HELPER!$B:$B,HELPER!$E:$E,"")," "))</f>
        <v/>
      </c>
      <c r="J11" s="71">
        <f>IFERROR(H11*(IF(G11=8,I11*HELPER!$G$2,BOM!I11*HELPER!$G$3))," ")</f>
        <v/>
      </c>
      <c r="K11" s="6" t="n"/>
      <c r="L11" s="14">
        <f t="array" ref="L11">IFERROR(_xlfn.LET(_xlpm.pairs,_xlfn._xlws.FILTER($A$2:$D$391,($A$2:$A$391&lt;&gt;"")*(TRIM($D$2:$D$391)&lt;&gt;"")),_xlpm.uniquePairs,_xlfn.UNIQUE(_xlfn.HSTACK(INDEX(_xlpm.pairs,,1),INDEX(_xlpm.pairs,,4))),_xlpm.sortedPairs,_xlfn._xlws.SORT(_xlpm.uniquePairs,1,1),IF(ROW()-1&lt;=ROWS(_xlpm.sortedPairs),INDEX(_xlpm.sortedPairs,ROW()-1,1),"")),"")</f>
        <v/>
      </c>
      <c r="M11" s="15">
        <f t="array" ref="M11">IFERROR(_xlfn.LET(_xlpm.pairs,_xlfn._xlws.FILTER($A$2:$D$391,($A$2:$A$391&lt;&gt;"")*(TRIM($D$2:$D$391)&lt;&gt;"")),_xlpm.uniquePairs,_xlfn.UNIQUE(_xlfn.HSTACK(INDEX(_xlpm.pairs,,1),INDEX(_xlpm.pairs,,4))),_xlpm.sortedPairs,_xlfn._xlws.SORT(_xlpm.uniquePairs,1,1),IF(ROW()-1&lt;=ROWS(_xlpm.sortedPairs),INDEX(_xlpm.sortedPairs,ROW()-1,2),"")),"")</f>
        <v/>
      </c>
      <c r="N11" s="15">
        <f t="array" ref="N11">IF(OR(L11="",M11=""),"",IFERROR(INDEX($E$2:$E$391,MATCH(1,($A$2:$A$391=L11)*($D$2:$D$391=M11),0)),""))</f>
        <v/>
      </c>
      <c r="O11" s="69">
        <f>IF(OR(L11="",M11=""),"",SUMIFS($J$2:$J$391,$A$2:$A$391,L11,$D$2:$D$391,M11))</f>
        <v/>
      </c>
      <c r="P11" s="6" t="n"/>
      <c r="Q11" s="35">
        <f t="array" ref="Q11">IFERROR(INDEX($L$2:$L$391,MATCH(0,COUNTIF($Q$1:Q10,$L$2:$L$391)+IF($L$2:$L$391="",1,0),0)),"")</f>
        <v/>
      </c>
      <c r="R11" s="554">
        <f>IF(Q11="","",SUMIF($L$2:$L$391,Q11,$O$2:$O$391))</f>
        <v/>
      </c>
      <c r="S11" s="555">
        <f>IFERROR(Table3[[#This Row],[Price (€/kg)]]*HELPER!$AK$2," ")</f>
        <v/>
      </c>
    </row>
    <row r="12">
      <c r="A12" s="40" t="inlineStr">
        <is>
          <t>TIPA 302FG</t>
        </is>
      </c>
      <c r="B12" s="41" t="inlineStr">
        <is>
          <t xml:space="preserve">Ext. B </t>
        </is>
      </c>
      <c r="C12" s="43" t="n"/>
      <c r="D12" s="43">
        <f>IF(C12="","",IFERROR(_xlfn.XLOOKUP(C12,HELPER!$A$2:$A$76,HELPER!$B$2:$B$76,""),D12))</f>
        <v/>
      </c>
      <c r="E12" s="43">
        <f>IFERROR(_xlfn.XLOOKUP(D12,HELPER!$B:$B,HELPER!$C:$C,""),"")</f>
        <v/>
      </c>
      <c r="F12" s="42">
        <f>IFERROR(_xlfn.XLOOKUP(D12,HELPER!$B:$B,HELPER!$D:$D,""),"")</f>
        <v/>
      </c>
      <c r="G12" s="42" t="n">
        <v>8</v>
      </c>
      <c r="H12" s="551" t="n"/>
      <c r="I12" s="36">
        <f>IF(AND(H12&lt;&gt;"",IFERROR(_xlfn.XLOOKUP(D12,HELPER!$B:$B,HELPER!$E:$E,""),"")=""),"Missing price",IFERROR(_xlfn.XLOOKUP(D12,HELPER!$B:$B,HELPER!$E:$E,"")," "))</f>
        <v/>
      </c>
      <c r="J12" s="71">
        <f>IFERROR(H12*(IF(G12=8,I12*HELPER!$G$2,BOM!I12*HELPER!$G$3))," ")</f>
        <v/>
      </c>
      <c r="K12" s="6" t="n"/>
      <c r="L12" s="16">
        <f t="array" ref="L12">IFERROR(_xlfn.LET(_xlpm.pairs,_xlfn._xlws.FILTER($A$2:$D$391,($A$2:$A$391&lt;&gt;"")*(TRIM($D$2:$D$391)&lt;&gt;"")),_xlpm.uniquePairs,_xlfn.UNIQUE(_xlfn.HSTACK(INDEX(_xlpm.pairs,,1),INDEX(_xlpm.pairs,,4))),_xlpm.sortedPairs,_xlfn._xlws.SORT(_xlpm.uniquePairs,1,1),IF(ROW()-1&lt;=ROWS(_xlpm.sortedPairs),INDEX(_xlpm.sortedPairs,ROW()-1,1),"")),"")</f>
        <v/>
      </c>
      <c r="M12" s="17">
        <f t="array" ref="M12">IFERROR(_xlfn.LET(_xlpm.pairs,_xlfn._xlws.FILTER($A$2:$D$391,($A$2:$A$391&lt;&gt;"")*(TRIM($D$2:$D$391)&lt;&gt;"")),_xlpm.uniquePairs,_xlfn.UNIQUE(_xlfn.HSTACK(INDEX(_xlpm.pairs,,1),INDEX(_xlpm.pairs,,4))),_xlpm.sortedPairs,_xlfn._xlws.SORT(_xlpm.uniquePairs,1,1),IF(ROW()-1&lt;=ROWS(_xlpm.sortedPairs),INDEX(_xlpm.sortedPairs,ROW()-1,2),"")),"")</f>
        <v/>
      </c>
      <c r="N12" s="17">
        <f t="array" ref="N12">IF(OR(L12="",M12=""),"",IFERROR(INDEX($E$2:$E$391,MATCH(1,($A$2:$A$391=L12)*($D$2:$D$391=M12),0)),""))</f>
        <v/>
      </c>
      <c r="O12" s="70">
        <f>IF(OR(L12="",M12=""),"",SUMIFS($J$2:$J$391,$A$2:$A$391,L12,$D$2:$D$391,M12))</f>
        <v/>
      </c>
      <c r="P12" s="6" t="n"/>
      <c r="Q12" s="34">
        <f t="array" ref="Q12">IFERROR(INDEX($L$2:$L$391,MATCH(0,COUNTIF($Q$1:Q11,$L$2:$L$391)+IF($L$2:$L$391="",1,0),0)),"")</f>
        <v/>
      </c>
      <c r="R12" s="552">
        <f>IF(Q12="","",SUMIF($L$2:$L$391,Q12,$O$2:$O$391))</f>
        <v/>
      </c>
      <c r="S12" s="553">
        <f>IFERROR(Table3[[#This Row],[Price (€/kg)]]*HELPER!$AK$2," ")</f>
        <v/>
      </c>
    </row>
    <row r="13">
      <c r="A13" s="40" t="inlineStr">
        <is>
          <t>TIPA 302FG</t>
        </is>
      </c>
      <c r="B13" s="41" t="inlineStr">
        <is>
          <t xml:space="preserve">Ext. B </t>
        </is>
      </c>
      <c r="C13" s="43" t="n"/>
      <c r="D13" s="43">
        <f>IF(C13="","",IFERROR(_xlfn.XLOOKUP(C13,HELPER!$A$2:$A$76,HELPER!$B$2:$B$76,""),D13))</f>
        <v/>
      </c>
      <c r="E13" s="43">
        <f>IFERROR(_xlfn.XLOOKUP(D13,HELPER!$B:$B,HELPER!$C:$C,""),"")</f>
        <v/>
      </c>
      <c r="F13" s="42">
        <f>IFERROR(_xlfn.XLOOKUP(D13,HELPER!$B:$B,HELPER!$D:$D,""),"")</f>
        <v/>
      </c>
      <c r="G13" s="42" t="n">
        <v>24</v>
      </c>
      <c r="H13" s="551" t="n"/>
      <c r="I13" s="36">
        <f>IF(AND(H13&lt;&gt;"",IFERROR(_xlfn.XLOOKUP(D13,HELPER!$B:$B,HELPER!$E:$E,""),"")=""),"Missing price",IFERROR(_xlfn.XLOOKUP(D13,HELPER!$B:$B,HELPER!$E:$E,"")," "))</f>
        <v/>
      </c>
      <c r="J13" s="71">
        <f>IFERROR(H13*(IF(G13=8,I13*HELPER!$G$2,BOM!I13*HELPER!$G$3))," ")</f>
        <v/>
      </c>
      <c r="K13" s="6" t="n"/>
      <c r="L13" s="14">
        <f t="array" ref="L13">IFERROR(_xlfn.LET(_xlpm.pairs,_xlfn._xlws.FILTER($A$2:$D$391,($A$2:$A$391&lt;&gt;"")*(TRIM($D$2:$D$391)&lt;&gt;"")),_xlpm.uniquePairs,_xlfn.UNIQUE(_xlfn.HSTACK(INDEX(_xlpm.pairs,,1),INDEX(_xlpm.pairs,,4))),_xlpm.sortedPairs,_xlfn._xlws.SORT(_xlpm.uniquePairs,1,1),IF(ROW()-1&lt;=ROWS(_xlpm.sortedPairs),INDEX(_xlpm.sortedPairs,ROW()-1,1),"")),"")</f>
        <v/>
      </c>
      <c r="M13" s="15">
        <f t="array" ref="M13">IFERROR(_xlfn.LET(_xlpm.pairs,_xlfn._xlws.FILTER($A$2:$D$391,($A$2:$A$391&lt;&gt;"")*(TRIM($D$2:$D$391)&lt;&gt;"")),_xlpm.uniquePairs,_xlfn.UNIQUE(_xlfn.HSTACK(INDEX(_xlpm.pairs,,1),INDEX(_xlpm.pairs,,4))),_xlpm.sortedPairs,_xlfn._xlws.SORT(_xlpm.uniquePairs,1,1),IF(ROW()-1&lt;=ROWS(_xlpm.sortedPairs),INDEX(_xlpm.sortedPairs,ROW()-1,2),"")),"")</f>
        <v/>
      </c>
      <c r="N13" s="15">
        <f t="array" ref="N13">IF(OR(L13="",M13=""),"",IFERROR(INDEX($E$2:$E$391,MATCH(1,($A$2:$A$391=L13)*($D$2:$D$391=M13),0)),""))</f>
        <v/>
      </c>
      <c r="O13" s="69">
        <f>IF(OR(L13="",M13=""),"",SUMIFS($J$2:$J$391,$A$2:$A$391,L13,$D$2:$D$391,M13))</f>
        <v/>
      </c>
      <c r="P13" s="6" t="n"/>
      <c r="Q13" s="35">
        <f t="array" ref="Q13">IFERROR(INDEX($L$2:$L$391,MATCH(0,COUNTIF($Q$1:Q12,$L$2:$L$391)+IF($L$2:$L$391="",1,0),0)),"")</f>
        <v/>
      </c>
      <c r="R13" s="554">
        <f>IF(Q13="","",SUMIF($L$2:$L$391,Q13,$O$2:$O$391))</f>
        <v/>
      </c>
      <c r="S13" s="555">
        <f>IFERROR(Table3[[#This Row],[Price (€/kg)]]*HELPER!$AK$2," ")</f>
        <v/>
      </c>
    </row>
    <row r="14">
      <c r="A14" s="40" t="inlineStr">
        <is>
          <t>TIPA 302FG</t>
        </is>
      </c>
      <c r="B14" s="41" t="inlineStr">
        <is>
          <t xml:space="preserve">Ext. B </t>
        </is>
      </c>
      <c r="C14" s="43" t="n"/>
      <c r="D14" s="43">
        <f>IF(C14="","",IFERROR(_xlfn.XLOOKUP(C14,HELPER!$A$2:$A$76,HELPER!$B$2:$B$76,""),D14))</f>
        <v/>
      </c>
      <c r="E14" s="43">
        <f>IFERROR(_xlfn.XLOOKUP(D14,HELPER!$B:$B,HELPER!$C:$C,""),"")</f>
        <v/>
      </c>
      <c r="F14" s="42">
        <f>IFERROR(_xlfn.XLOOKUP(D14,HELPER!$B:$B,HELPER!$D:$D,""),"")</f>
        <v/>
      </c>
      <c r="G14" s="42" t="n">
        <v>24</v>
      </c>
      <c r="H14" s="551" t="n"/>
      <c r="I14" s="36">
        <f>IF(AND(H14&lt;&gt;"",IFERROR(_xlfn.XLOOKUP(D14,HELPER!$B:$B,HELPER!$E:$E,""),"")=""),"Missing price",IFERROR(_xlfn.XLOOKUP(D14,HELPER!$B:$B,HELPER!$E:$E,"")," "))</f>
        <v/>
      </c>
      <c r="J14" s="71">
        <f>IFERROR(H14*(IF(G14=8,I14*HELPER!$G$2,BOM!I14*HELPER!$G$3))," ")</f>
        <v/>
      </c>
      <c r="K14" s="6" t="n"/>
      <c r="L14" s="16">
        <f t="array" ref="L14">IFERROR(_xlfn.LET(_xlpm.pairs,_xlfn._xlws.FILTER($A$2:$D$391,($A$2:$A$391&lt;&gt;"")*(TRIM($D$2:$D$391)&lt;&gt;"")),_xlpm.uniquePairs,_xlfn.UNIQUE(_xlfn.HSTACK(INDEX(_xlpm.pairs,,1),INDEX(_xlpm.pairs,,4))),_xlpm.sortedPairs,_xlfn._xlws.SORT(_xlpm.uniquePairs,1,1),IF(ROW()-1&lt;=ROWS(_xlpm.sortedPairs),INDEX(_xlpm.sortedPairs,ROW()-1,1),"")),"")</f>
        <v/>
      </c>
      <c r="M14" s="17">
        <f t="array" ref="M14">IFERROR(_xlfn.LET(_xlpm.pairs,_xlfn._xlws.FILTER($A$2:$D$391,($A$2:$A$391&lt;&gt;"")*(TRIM($D$2:$D$391)&lt;&gt;"")),_xlpm.uniquePairs,_xlfn.UNIQUE(_xlfn.HSTACK(INDEX(_xlpm.pairs,,1),INDEX(_xlpm.pairs,,4))),_xlpm.sortedPairs,_xlfn._xlws.SORT(_xlpm.uniquePairs,1,1),IF(ROW()-1&lt;=ROWS(_xlpm.sortedPairs),INDEX(_xlpm.sortedPairs,ROW()-1,2),"")),"")</f>
        <v/>
      </c>
      <c r="N14" s="17">
        <f t="array" ref="N14">IF(OR(L14="",M14=""),"",IFERROR(INDEX($E$2:$E$391,MATCH(1,($A$2:$A$391=L14)*($D$2:$D$391=M14),0)),""))</f>
        <v/>
      </c>
      <c r="O14" s="70">
        <f>IF(OR(L14="",M14=""),"",SUMIFS($J$2:$J$391,$A$2:$A$391,L14,$D$2:$D$391,M14))</f>
        <v/>
      </c>
      <c r="P14" s="6" t="n"/>
      <c r="Q14" s="34">
        <f t="array" ref="Q14">IFERROR(INDEX($L$2:$L$391,MATCH(0,COUNTIF($Q$1:Q13,$L$2:$L$391)+IF($L$2:$L$391="",1,0),0)),"")</f>
        <v/>
      </c>
      <c r="R14" s="552">
        <f>IF(Q14="","",SUMIF($L$2:$L$391,Q14,$O$2:$O$391))</f>
        <v/>
      </c>
      <c r="S14" s="553">
        <f>IFERROR(Table3[[#This Row],[Price (€/kg)]]*HELPER!$AK$2," ")</f>
        <v/>
      </c>
    </row>
    <row r="15">
      <c r="A15" s="40" t="inlineStr">
        <is>
          <t>TIPA 302FG</t>
        </is>
      </c>
      <c r="B15" s="41" t="inlineStr">
        <is>
          <t xml:space="preserve">Ext. B </t>
        </is>
      </c>
      <c r="C15" s="43" t="n"/>
      <c r="D15" s="43">
        <f>IF(C15="","",IFERROR(_xlfn.XLOOKUP(C15,HELPER!$A$2:$A$76,HELPER!$B$2:$B$76,""),D15))</f>
        <v/>
      </c>
      <c r="E15" s="43">
        <f>IFERROR(_xlfn.XLOOKUP(D15,HELPER!$B:$B,HELPER!$C:$C,""),"")</f>
        <v/>
      </c>
      <c r="F15" s="42">
        <f>IFERROR(_xlfn.XLOOKUP(D15,HELPER!$B:$B,HELPER!$D:$D,""),"")</f>
        <v/>
      </c>
      <c r="G15" s="42" t="n">
        <v>24</v>
      </c>
      <c r="H15" s="551" t="n"/>
      <c r="I15" s="36">
        <f>IF(AND(H15&lt;&gt;"",IFERROR(_xlfn.XLOOKUP(D15,HELPER!$B:$B,HELPER!$E:$E,""),"")=""),"Missing price",IFERROR(_xlfn.XLOOKUP(D15,HELPER!$B:$B,HELPER!$E:$E,"")," "))</f>
        <v/>
      </c>
      <c r="J15" s="71">
        <f>IFERROR(H15*(IF(G15=8,I15*HELPER!$G$2,BOM!I15*HELPER!$G$3))," ")</f>
        <v/>
      </c>
      <c r="K15" s="6" t="n"/>
      <c r="L15" s="14">
        <f t="array" ref="L15">IFERROR(_xlfn.LET(_xlpm.pairs,_xlfn._xlws.FILTER($A$2:$D$391,($A$2:$A$391&lt;&gt;"")*(TRIM($D$2:$D$391)&lt;&gt;"")),_xlpm.uniquePairs,_xlfn.UNIQUE(_xlfn.HSTACK(INDEX(_xlpm.pairs,,1),INDEX(_xlpm.pairs,,4))),_xlpm.sortedPairs,_xlfn._xlws.SORT(_xlpm.uniquePairs,1,1),IF(ROW()-1&lt;=ROWS(_xlpm.sortedPairs),INDEX(_xlpm.sortedPairs,ROW()-1,1),"")),"")</f>
        <v/>
      </c>
      <c r="M15" s="15">
        <f t="array" ref="M15">IFERROR(_xlfn.LET(_xlpm.pairs,_xlfn._xlws.FILTER($A$2:$D$391,($A$2:$A$391&lt;&gt;"")*(TRIM($D$2:$D$391)&lt;&gt;"")),_xlpm.uniquePairs,_xlfn.UNIQUE(_xlfn.HSTACK(INDEX(_xlpm.pairs,,1),INDEX(_xlpm.pairs,,4))),_xlpm.sortedPairs,_xlfn._xlws.SORT(_xlpm.uniquePairs,1,1),IF(ROW()-1&lt;=ROWS(_xlpm.sortedPairs),INDEX(_xlpm.sortedPairs,ROW()-1,2),"")),"")</f>
        <v/>
      </c>
      <c r="N15" s="15">
        <f t="array" ref="N15">IF(OR(L15="",M15=""),"",IFERROR(INDEX($E$2:$E$391,MATCH(1,($A$2:$A$391=L15)*($D$2:$D$391=M15),0)),""))</f>
        <v/>
      </c>
      <c r="O15" s="69">
        <f>IF(OR(L15="",M15=""),"",SUMIFS($J$2:$J$391,$A$2:$A$391,L15,$D$2:$D$391,M15))</f>
        <v/>
      </c>
      <c r="P15" s="6" t="n"/>
      <c r="Q15" s="35">
        <f t="array" ref="Q15">IFERROR(INDEX($L$2:$L$391,MATCH(0,COUNTIF($Q$1:Q14,$L$2:$L$391)+IF($L$2:$L$391="",1,0),0)),"")</f>
        <v/>
      </c>
      <c r="R15" s="554">
        <f>IF(Q15="","",SUMIF($L$2:$L$391,Q15,$O$2:$O$391))</f>
        <v/>
      </c>
      <c r="S15" s="555">
        <f>IFERROR(Table3[[#This Row],[Price (€/kg)]]*HELPER!$AK$2," ")</f>
        <v/>
      </c>
    </row>
    <row r="16">
      <c r="A16" s="40" t="inlineStr">
        <is>
          <t>TIPA 302FG</t>
        </is>
      </c>
      <c r="B16" s="41" t="inlineStr">
        <is>
          <t xml:space="preserve">Ext. B </t>
        </is>
      </c>
      <c r="C16" s="43" t="inlineStr">
        <is>
          <t>AO-PBS</t>
        </is>
      </c>
      <c r="D16" s="43">
        <f>IF(C16="","",IFERROR(_xlfn.XLOOKUP(C16,HELPER!$A$2:$A$76,HELPER!$B$2:$B$76,""),D16))</f>
        <v/>
      </c>
      <c r="E16" s="43">
        <f>IFERROR(_xlfn.XLOOKUP(D16,HELPER!$B:$B,HELPER!$C:$C,""),"")</f>
        <v/>
      </c>
      <c r="F16" s="42">
        <f>IFERROR(_xlfn.XLOOKUP(D16,HELPER!$B:$B,HELPER!$D:$D,""),"")</f>
        <v/>
      </c>
      <c r="G16" s="42" t="n">
        <v>24</v>
      </c>
      <c r="H16" s="551" t="n">
        <v>0.015</v>
      </c>
      <c r="I16" s="36">
        <f>IF(AND(H16&lt;&gt;"",IFERROR(_xlfn.XLOOKUP(D16,HELPER!$B:$B,HELPER!$E:$E,""),"")=""),"Missing price",IFERROR(_xlfn.XLOOKUP(D16,HELPER!$B:$B,HELPER!$E:$E,"")," "))</f>
        <v/>
      </c>
      <c r="J16" s="71">
        <f>IFERROR(H16*(IF(G16=8,I16*HELPER!$G$2,BOM!I16*HELPER!$G$3))," ")</f>
        <v/>
      </c>
      <c r="K16" s="6" t="n"/>
      <c r="L16" s="16">
        <f t="array" ref="L16">IFERROR(_xlfn.LET(_xlpm.pairs,_xlfn._xlws.FILTER($A$2:$D$391,($A$2:$A$391&lt;&gt;"")*(TRIM($D$2:$D$391)&lt;&gt;"")),_xlpm.uniquePairs,_xlfn.UNIQUE(_xlfn.HSTACK(INDEX(_xlpm.pairs,,1),INDEX(_xlpm.pairs,,4))),_xlpm.sortedPairs,_xlfn._xlws.SORT(_xlpm.uniquePairs,1,1),IF(ROW()-1&lt;=ROWS(_xlpm.sortedPairs),INDEX(_xlpm.sortedPairs,ROW()-1,1),"")),"")</f>
        <v/>
      </c>
      <c r="M16" s="17">
        <f t="array" ref="M16">IFERROR(_xlfn.LET(_xlpm.pairs,_xlfn._xlws.FILTER($A$2:$D$391,($A$2:$A$391&lt;&gt;"")*(TRIM($D$2:$D$391)&lt;&gt;"")),_xlpm.uniquePairs,_xlfn.UNIQUE(_xlfn.HSTACK(INDEX(_xlpm.pairs,,1),INDEX(_xlpm.pairs,,4))),_xlpm.sortedPairs,_xlfn._xlws.SORT(_xlpm.uniquePairs,1,1),IF(ROW()-1&lt;=ROWS(_xlpm.sortedPairs),INDEX(_xlpm.sortedPairs,ROW()-1,2),"")),"")</f>
        <v/>
      </c>
      <c r="N16" s="17">
        <f t="array" ref="N16">IF(OR(L16="",M16=""),"",IFERROR(INDEX($E$2:$E$391,MATCH(1,($A$2:$A$391=L16)*($D$2:$D$391=M16),0)),""))</f>
        <v/>
      </c>
      <c r="O16" s="70">
        <f>IF(OR(L16="",M16=""),"",SUMIFS($J$2:$J$391,$A$2:$A$391,L16,$D$2:$D$391,M16))</f>
        <v/>
      </c>
      <c r="P16" s="6" t="n"/>
      <c r="Q16" s="34">
        <f t="array" ref="Q16">IFERROR(INDEX($L$2:$L$391,MATCH(0,COUNTIF($Q$1:Q15,$L$2:$L$391)+IF($L$2:$L$391="",1,0),0)),"")</f>
        <v/>
      </c>
      <c r="R16" s="552">
        <f>IF(Q16="","",SUMIF($L$2:$L$391,Q16,$O$2:$O$391))</f>
        <v/>
      </c>
      <c r="S16" s="553">
        <f>IFERROR(Table3[[#This Row],[Price (€/kg)]]*HELPER!$AK$2," ")</f>
        <v/>
      </c>
    </row>
    <row r="17">
      <c r="A17" s="40" t="inlineStr">
        <is>
          <t>TIPA 302FG</t>
        </is>
      </c>
      <c r="B17" s="41" t="inlineStr">
        <is>
          <t xml:space="preserve">Ext. B </t>
        </is>
      </c>
      <c r="C17" s="43" t="n"/>
      <c r="D17" s="43">
        <f>IF(C17="","",IFERROR(_xlfn.XLOOKUP(C17,HELPER!$A$2:$A$76,HELPER!$B$2:$B$76,""),D17))</f>
        <v/>
      </c>
      <c r="E17" s="43">
        <f>IFERROR(_xlfn.XLOOKUP(D17,HELPER!$B:$B,HELPER!$C:$C,""),"")</f>
        <v/>
      </c>
      <c r="F17" s="42">
        <f>IFERROR(_xlfn.XLOOKUP(D17,HELPER!$B:$B,HELPER!$D:$D,""),"")</f>
        <v/>
      </c>
      <c r="G17" s="42" t="n">
        <v>24</v>
      </c>
      <c r="H17" s="551" t="n"/>
      <c r="I17" s="36">
        <f>IF(AND(H17&lt;&gt;"",IFERROR(_xlfn.XLOOKUP(D17,HELPER!$B:$B,HELPER!$E:$E,""),"")=""),"Missing price",IFERROR(_xlfn.XLOOKUP(D17,HELPER!$B:$B,HELPER!$E:$E,"")," "))</f>
        <v/>
      </c>
      <c r="J17" s="71">
        <f>IFERROR(H17*(IF(G17=8,I17*HELPER!$G$2,BOM!I17*HELPER!$G$3))," ")</f>
        <v/>
      </c>
      <c r="K17" s="6" t="n"/>
      <c r="L17" s="14">
        <f t="array" ref="L17">IFERROR(_xlfn.LET(_xlpm.pairs,_xlfn._xlws.FILTER($A$2:$D$391,($A$2:$A$391&lt;&gt;"")*(TRIM($D$2:$D$391)&lt;&gt;"")),_xlpm.uniquePairs,_xlfn.UNIQUE(_xlfn.HSTACK(INDEX(_xlpm.pairs,,1),INDEX(_xlpm.pairs,,4))),_xlpm.sortedPairs,_xlfn._xlws.SORT(_xlpm.uniquePairs,1,1),IF(ROW()-1&lt;=ROWS(_xlpm.sortedPairs),INDEX(_xlpm.sortedPairs,ROW()-1,1),"")),"")</f>
        <v/>
      </c>
      <c r="M17" s="15">
        <f t="array" ref="M17">IFERROR(_xlfn.LET(_xlpm.pairs,_xlfn._xlws.FILTER($A$2:$D$391,($A$2:$A$391&lt;&gt;"")*(TRIM($D$2:$D$391)&lt;&gt;"")),_xlpm.uniquePairs,_xlfn.UNIQUE(_xlfn.HSTACK(INDEX(_xlpm.pairs,,1),INDEX(_xlpm.pairs,,4))),_xlpm.sortedPairs,_xlfn._xlws.SORT(_xlpm.uniquePairs,1,1),IF(ROW()-1&lt;=ROWS(_xlpm.sortedPairs),INDEX(_xlpm.sortedPairs,ROW()-1,2),"")),"")</f>
        <v/>
      </c>
      <c r="N17" s="15">
        <f t="array" ref="N17">IF(OR(L17="",M17=""),"",IFERROR(INDEX($E$2:$E$391,MATCH(1,($A$2:$A$391=L17)*($D$2:$D$391=M17),0)),""))</f>
        <v/>
      </c>
      <c r="O17" s="69">
        <f>IF(OR(L17="",M17=""),"",SUMIFS($J$2:$J$391,$A$2:$A$391,L17,$D$2:$D$391,M17))</f>
        <v/>
      </c>
      <c r="P17" s="6" t="n"/>
      <c r="Q17" s="35">
        <f t="array" ref="Q17">IFERROR(INDEX($L$2:$L$391,MATCH(0,COUNTIF($Q$1:Q16,$L$2:$L$391)+IF($L$2:$L$391="",1,0),0)),"")</f>
        <v/>
      </c>
      <c r="R17" s="554">
        <f>IF(Q17="","",SUMIF($L$2:$L$391,Q17,$O$2:$O$391))</f>
        <v/>
      </c>
      <c r="S17" s="555">
        <f>IFERROR(Table3[[#This Row],[Price (€/kg)]]*HELPER!$AK$2," ")</f>
        <v/>
      </c>
    </row>
    <row r="18">
      <c r="A18" s="40" t="inlineStr">
        <is>
          <t>TIPA 302FG</t>
        </is>
      </c>
      <c r="B18" s="41" t="inlineStr">
        <is>
          <t xml:space="preserve">Ext. B </t>
        </is>
      </c>
      <c r="C18" s="43" t="inlineStr">
        <is>
          <t>PBAT</t>
        </is>
      </c>
      <c r="D18" s="43">
        <f>IF(C18="","",IFERROR(_xlfn.XLOOKUP(C18,HELPER!$A$2:$A$76,HELPER!$B$2:$B$76,""),D18))</f>
        <v/>
      </c>
      <c r="E18" s="43">
        <f>IFERROR(_xlfn.XLOOKUP(D18,HELPER!$B:$B,HELPER!$C:$C,""),"")</f>
        <v/>
      </c>
      <c r="F18" s="42">
        <f>IFERROR(_xlfn.XLOOKUP(D18,HELPER!$B:$B,HELPER!$D:$D,""),"")</f>
        <v/>
      </c>
      <c r="G18" s="42" t="n">
        <v>24</v>
      </c>
      <c r="H18" s="551" t="n">
        <v>0.985</v>
      </c>
      <c r="I18" s="36">
        <f>IF(AND(H18&lt;&gt;"",IFERROR(_xlfn.XLOOKUP(D18,HELPER!$B:$B,HELPER!$E:$E,""),"")=""),"Missing price",IFERROR(_xlfn.XLOOKUP(D18,HELPER!$B:$B,HELPER!$E:$E,"")," "))</f>
        <v/>
      </c>
      <c r="J18" s="71">
        <f>IFERROR(H18*(IF(G18=8,I18*HELPER!$G$2,BOM!I18*HELPER!$G$3))," ")</f>
        <v/>
      </c>
      <c r="K18" s="6" t="n"/>
      <c r="L18" s="16">
        <f t="array" ref="L18">IFERROR(_xlfn.LET(_xlpm.pairs,_xlfn._xlws.FILTER($A$2:$D$391,($A$2:$A$391&lt;&gt;"")*(TRIM($D$2:$D$391)&lt;&gt;"")),_xlpm.uniquePairs,_xlfn.UNIQUE(_xlfn.HSTACK(INDEX(_xlpm.pairs,,1),INDEX(_xlpm.pairs,,4))),_xlpm.sortedPairs,_xlfn._xlws.SORT(_xlpm.uniquePairs,1,1),IF(ROW()-1&lt;=ROWS(_xlpm.sortedPairs),INDEX(_xlpm.sortedPairs,ROW()-1,1),"")),"")</f>
        <v/>
      </c>
      <c r="M18" s="17">
        <f t="array" ref="M18">IFERROR(_xlfn.LET(_xlpm.pairs,_xlfn._xlws.FILTER($A$2:$D$391,($A$2:$A$391&lt;&gt;"")*(TRIM($D$2:$D$391)&lt;&gt;"")),_xlpm.uniquePairs,_xlfn.UNIQUE(_xlfn.HSTACK(INDEX(_xlpm.pairs,,1),INDEX(_xlpm.pairs,,4))),_xlpm.sortedPairs,_xlfn._xlws.SORT(_xlpm.uniquePairs,1,1),IF(ROW()-1&lt;=ROWS(_xlpm.sortedPairs),INDEX(_xlpm.sortedPairs,ROW()-1,2),"")),"")</f>
        <v/>
      </c>
      <c r="N18" s="17">
        <f t="array" ref="N18">IF(OR(L18="",M18=""),"",IFERROR(INDEX($E$2:$E$391,MATCH(1,($A$2:$A$391=L18)*($D$2:$D$391=M18),0)),""))</f>
        <v/>
      </c>
      <c r="O18" s="70">
        <f>IF(OR(L18="",M18=""),"",SUMIFS($J$2:$J$391,$A$2:$A$391,L18,$D$2:$D$391,M18))</f>
        <v/>
      </c>
      <c r="P18" s="6" t="n"/>
      <c r="Q18" s="34">
        <f t="array" ref="Q18">IFERROR(INDEX($L$2:$L$391,MATCH(0,COUNTIF($Q$1:Q17,$L$2:$L$391)+IF($L$2:$L$391="",1,0),0)),"")</f>
        <v/>
      </c>
      <c r="R18" s="552">
        <f>IF(Q18="","",SUMIF($L$2:$L$391,Q18,$O$2:$O$391))</f>
        <v/>
      </c>
      <c r="S18" s="553">
        <f>IFERROR(Table3[[#This Row],[Price (€/kg)]]*HELPER!$AK$2," ")</f>
        <v/>
      </c>
    </row>
    <row r="19">
      <c r="A19" s="40" t="inlineStr">
        <is>
          <t>TIPA 302FG</t>
        </is>
      </c>
      <c r="B19" s="41" t="inlineStr">
        <is>
          <t xml:space="preserve">Ext. B </t>
        </is>
      </c>
      <c r="C19" s="43" t="n"/>
      <c r="D19" s="43">
        <f>IF(C19="","",IFERROR(_xlfn.XLOOKUP(C19,HELPER!$A$2:$A$76,HELPER!$B$2:$B$76,""),D19))</f>
        <v/>
      </c>
      <c r="E19" s="43">
        <f>IFERROR(_xlfn.XLOOKUP(D19,HELPER!$B:$B,HELPER!$C:$C,""),"")</f>
        <v/>
      </c>
      <c r="F19" s="42">
        <f>IFERROR(_xlfn.XLOOKUP(D19,HELPER!$B:$B,HELPER!$D:$D,""),"")</f>
        <v/>
      </c>
      <c r="G19" s="42" t="n">
        <v>24</v>
      </c>
      <c r="H19" s="551" t="n"/>
      <c r="I19" s="36">
        <f>IF(AND(H19&lt;&gt;"",IFERROR(_xlfn.XLOOKUP(D19,HELPER!$B:$B,HELPER!$E:$E,""),"")=""),"Missing price",IFERROR(_xlfn.XLOOKUP(D19,HELPER!$B:$B,HELPER!$E:$E,"")," "))</f>
        <v/>
      </c>
      <c r="J19" s="71">
        <f>IFERROR(H19*(IF(G19=8,I19*HELPER!$G$2,BOM!I19*HELPER!$G$3))," ")</f>
        <v/>
      </c>
      <c r="K19" s="6" t="n"/>
      <c r="L19" s="14">
        <f t="array" ref="L19">IFERROR(_xlfn.LET(_xlpm.pairs,_xlfn._xlws.FILTER($A$2:$D$391,($A$2:$A$391&lt;&gt;"")*(TRIM($D$2:$D$391)&lt;&gt;"")),_xlpm.uniquePairs,_xlfn.UNIQUE(_xlfn.HSTACK(INDEX(_xlpm.pairs,,1),INDEX(_xlpm.pairs,,4))),_xlpm.sortedPairs,_xlfn._xlws.SORT(_xlpm.uniquePairs,1,1),IF(ROW()-1&lt;=ROWS(_xlpm.sortedPairs),INDEX(_xlpm.sortedPairs,ROW()-1,1),"")),"")</f>
        <v/>
      </c>
      <c r="M19" s="15">
        <f t="array" ref="M19">IFERROR(_xlfn.LET(_xlpm.pairs,_xlfn._xlws.FILTER($A$2:$D$391,($A$2:$A$391&lt;&gt;"")*(TRIM($D$2:$D$391)&lt;&gt;"")),_xlpm.uniquePairs,_xlfn.UNIQUE(_xlfn.HSTACK(INDEX(_xlpm.pairs,,1),INDEX(_xlpm.pairs,,4))),_xlpm.sortedPairs,_xlfn._xlws.SORT(_xlpm.uniquePairs,1,1),IF(ROW()-1&lt;=ROWS(_xlpm.sortedPairs),INDEX(_xlpm.sortedPairs,ROW()-1,2),"")),"")</f>
        <v/>
      </c>
      <c r="N19" s="15">
        <f t="array" ref="N19">IF(OR(L19="",M19=""),"",IFERROR(INDEX($E$2:$E$391,MATCH(1,($A$2:$A$391=L19)*($D$2:$D$391=M19),0)),""))</f>
        <v/>
      </c>
      <c r="O19" s="69">
        <f>IF(OR(L19="",M19=""),"",SUMIFS($J$2:$J$391,$A$2:$A$391,L19,$D$2:$D$391,M19))</f>
        <v/>
      </c>
      <c r="P19" s="6" t="n"/>
      <c r="Q19" s="35">
        <f t="array" ref="Q19">IFERROR(INDEX($L$2:$L$391,MATCH(0,COUNTIF($Q$1:Q18,$L$2:$L$391)+IF($L$2:$L$391="",1,0),0)),"")</f>
        <v/>
      </c>
      <c r="R19" s="554">
        <f>IF(Q19="","",SUMIF($L$2:$L$391,Q19,$O$2:$O$391))</f>
        <v/>
      </c>
      <c r="S19" s="555">
        <f>IFERROR(Table3[[#This Row],[Price (€/kg)]]*HELPER!$AK$2," ")</f>
        <v/>
      </c>
    </row>
    <row r="20">
      <c r="A20" s="40" t="inlineStr">
        <is>
          <t>TIPA 302FG</t>
        </is>
      </c>
      <c r="B20" s="41" t="inlineStr">
        <is>
          <t xml:space="preserve">Ext. B </t>
        </is>
      </c>
      <c r="C20" s="43" t="n"/>
      <c r="D20" s="43">
        <f>IF(C20="","",IFERROR(_xlfn.XLOOKUP(C20,HELPER!$A$2:$A$76,HELPER!$B$2:$B$76,""),D20))</f>
        <v/>
      </c>
      <c r="E20" s="43">
        <f>IFERROR(_xlfn.XLOOKUP(D20,HELPER!$B:$B,HELPER!$C:$C,""),"")</f>
        <v/>
      </c>
      <c r="F20" s="42">
        <f>IFERROR(_xlfn.XLOOKUP(D20,HELPER!$B:$B,HELPER!$D:$D,""),"")</f>
        <v/>
      </c>
      <c r="G20" s="42" t="n">
        <v>24</v>
      </c>
      <c r="H20" s="551" t="n"/>
      <c r="I20" s="36">
        <f>IF(AND(H20&lt;&gt;"",IFERROR(_xlfn.XLOOKUP(D20,HELPER!$B:$B,HELPER!$E:$E,""),"")=""),"Missing price",IFERROR(_xlfn.XLOOKUP(D20,HELPER!$B:$B,HELPER!$E:$E,"")," "))</f>
        <v/>
      </c>
      <c r="J20" s="71">
        <f>IFERROR(H20*(IF(G20=8,I20*HELPER!$G$2,BOM!I20*HELPER!$G$3))," ")</f>
        <v/>
      </c>
      <c r="K20" s="6" t="n"/>
      <c r="L20" s="16">
        <f t="array" ref="L20">IFERROR(_xlfn.LET(_xlpm.pairs,_xlfn._xlws.FILTER($A$2:$D$391,($A$2:$A$391&lt;&gt;"")*(TRIM($D$2:$D$391)&lt;&gt;"")),_xlpm.uniquePairs,_xlfn.UNIQUE(_xlfn.HSTACK(INDEX(_xlpm.pairs,,1),INDEX(_xlpm.pairs,,4))),_xlpm.sortedPairs,_xlfn._xlws.SORT(_xlpm.uniquePairs,1,1),IF(ROW()-1&lt;=ROWS(_xlpm.sortedPairs),INDEX(_xlpm.sortedPairs,ROW()-1,1),"")),"")</f>
        <v/>
      </c>
      <c r="M20" s="17">
        <f t="array" ref="M20">IFERROR(_xlfn.LET(_xlpm.pairs,_xlfn._xlws.FILTER($A$2:$D$391,($A$2:$A$391&lt;&gt;"")*(TRIM($D$2:$D$391)&lt;&gt;"")),_xlpm.uniquePairs,_xlfn.UNIQUE(_xlfn.HSTACK(INDEX(_xlpm.pairs,,1),INDEX(_xlpm.pairs,,4))),_xlpm.sortedPairs,_xlfn._xlws.SORT(_xlpm.uniquePairs,1,1),IF(ROW()-1&lt;=ROWS(_xlpm.sortedPairs),INDEX(_xlpm.sortedPairs,ROW()-1,2),"")),"")</f>
        <v/>
      </c>
      <c r="N20" s="17">
        <f t="array" ref="N20">IF(OR(L20="",M20=""),"",IFERROR(INDEX($E$2:$E$391,MATCH(1,($A$2:$A$391=L20)*($D$2:$D$391=M20),0)),""))</f>
        <v/>
      </c>
      <c r="O20" s="70">
        <f>IF(OR(L20="",M20=""),"",SUMIFS($J$2:$J$391,$A$2:$A$391,L20,$D$2:$D$391,M20))</f>
        <v/>
      </c>
      <c r="P20" s="6" t="n"/>
      <c r="Q20" s="34">
        <f t="array" ref="Q20">IFERROR(INDEX($L$2:$L$391,MATCH(0,COUNTIF($Q$1:Q19,$L$2:$L$391)+IF($L$2:$L$391="",1,0),0)),"")</f>
        <v/>
      </c>
      <c r="R20" s="552">
        <f>IF(Q20="","",SUMIF($L$2:$L$391,Q20,$O$2:$O$391))</f>
        <v/>
      </c>
      <c r="S20" s="553">
        <f>IFERROR(Table3[[#This Row],[Price (€/kg)]]*HELPER!$AK$2," ")</f>
        <v/>
      </c>
    </row>
    <row r="21">
      <c r="A21" s="40" t="inlineStr">
        <is>
          <t>TIPA 302FG</t>
        </is>
      </c>
      <c r="B21" s="41" t="inlineStr">
        <is>
          <t xml:space="preserve">Ext. B </t>
        </is>
      </c>
      <c r="C21" s="43" t="n"/>
      <c r="D21" s="43">
        <f>IF(C21="","",IFERROR(_xlfn.XLOOKUP(C21,HELPER!$A$2:$A$76,HELPER!$B$2:$B$76,""),D21))</f>
        <v/>
      </c>
      <c r="E21" s="43">
        <f>IFERROR(_xlfn.XLOOKUP(D21,HELPER!$B:$B,HELPER!$C:$C,""),"")</f>
        <v/>
      </c>
      <c r="F21" s="42">
        <f>IFERROR(_xlfn.XLOOKUP(D21,HELPER!$B:$B,HELPER!$D:$D,""),"")</f>
        <v/>
      </c>
      <c r="G21" s="42" t="n">
        <v>24</v>
      </c>
      <c r="H21" s="551" t="n"/>
      <c r="I21" s="36">
        <f>IF(AND(H21&lt;&gt;"",IFERROR(_xlfn.XLOOKUP(D21,HELPER!$B:$B,HELPER!$E:$E,""),"")=""),"Missing price",IFERROR(_xlfn.XLOOKUP(D21,HELPER!$B:$B,HELPER!$E:$E,"")," "))</f>
        <v/>
      </c>
      <c r="J21" s="71">
        <f>IFERROR(H21*(IF(G21=8,I21*HELPER!$G$2,BOM!I21*HELPER!$G$3))," ")</f>
        <v/>
      </c>
      <c r="K21" s="6" t="n"/>
      <c r="L21" s="14">
        <f t="array" ref="L21">IFERROR(_xlfn.LET(_xlpm.pairs,_xlfn._xlws.FILTER($A$2:$D$391,($A$2:$A$391&lt;&gt;"")*(TRIM($D$2:$D$391)&lt;&gt;"")),_xlpm.uniquePairs,_xlfn.UNIQUE(_xlfn.HSTACK(INDEX(_xlpm.pairs,,1),INDEX(_xlpm.pairs,,4))),_xlpm.sortedPairs,_xlfn._xlws.SORT(_xlpm.uniquePairs,1,1),IF(ROW()-1&lt;=ROWS(_xlpm.sortedPairs),INDEX(_xlpm.sortedPairs,ROW()-1,1),"")),"")</f>
        <v/>
      </c>
      <c r="M21" s="15">
        <f t="array" ref="M21">IFERROR(_xlfn.LET(_xlpm.pairs,_xlfn._xlws.FILTER($A$2:$D$391,($A$2:$A$391&lt;&gt;"")*(TRIM($D$2:$D$391)&lt;&gt;"")),_xlpm.uniquePairs,_xlfn.UNIQUE(_xlfn.HSTACK(INDEX(_xlpm.pairs,,1),INDEX(_xlpm.pairs,,4))),_xlpm.sortedPairs,_xlfn._xlws.SORT(_xlpm.uniquePairs,1,1),IF(ROW()-1&lt;=ROWS(_xlpm.sortedPairs),INDEX(_xlpm.sortedPairs,ROW()-1,2),"")),"")</f>
        <v/>
      </c>
      <c r="N21" s="15">
        <f t="array" ref="N21">IF(OR(L21="",M21=""),"",IFERROR(INDEX($E$2:$E$391,MATCH(1,($A$2:$A$391=L21)*($D$2:$D$391=M21),0)),""))</f>
        <v/>
      </c>
      <c r="O21" s="69">
        <f>IF(OR(L21="",M21=""),"",SUMIFS($J$2:$J$391,$A$2:$A$391,L21,$D$2:$D$391,M21))</f>
        <v/>
      </c>
      <c r="P21" s="6" t="n"/>
      <c r="Q21" s="35">
        <f t="array" ref="Q21">IFERROR(INDEX($L$2:$L$391,MATCH(0,COUNTIF($Q$1:Q20,$L$2:$L$391)+IF($L$2:$L$391="",1,0),0)),"")</f>
        <v/>
      </c>
      <c r="R21" s="554">
        <f>IF(Q21="","",SUMIF($L$2:$L$391,Q21,$O$2:$O$391))</f>
        <v/>
      </c>
      <c r="S21" s="555">
        <f>IFERROR(Table3[[#This Row],[Price (€/kg)]]*HELPER!$AK$2," ")</f>
        <v/>
      </c>
    </row>
    <row r="22">
      <c r="A22" s="40" t="inlineStr">
        <is>
          <t>TIPA 302FG</t>
        </is>
      </c>
      <c r="B22" s="41" t="inlineStr">
        <is>
          <t>Ext. C (In)</t>
        </is>
      </c>
      <c r="C22" s="43" t="inlineStr">
        <is>
          <t>PBSA</t>
        </is>
      </c>
      <c r="D22" s="43">
        <f>IF(C22="","",IFERROR(_xlfn.XLOOKUP(C22,HELPER!$A$2:$A$76,HELPER!$B$2:$B$76,""),D22))</f>
        <v/>
      </c>
      <c r="E22" s="43">
        <f>IFERROR(_xlfn.XLOOKUP(D22,HELPER!$B:$B,HELPER!$C:$C,""),"")</f>
        <v/>
      </c>
      <c r="F22" s="42">
        <f>IFERROR(_xlfn.XLOOKUP(D22,HELPER!$B:$B,HELPER!$D:$D,""),"")</f>
        <v/>
      </c>
      <c r="G22" s="42" t="n">
        <v>8</v>
      </c>
      <c r="H22" s="551" t="n">
        <v>0.8179999999999999</v>
      </c>
      <c r="I22" s="36">
        <f>IF(AND(H22&lt;&gt;"",IFERROR(_xlfn.XLOOKUP(D22,HELPER!$B:$B,HELPER!$E:$E,""),"")=""),"Missing price",IFERROR(_xlfn.XLOOKUP(D22,HELPER!$B:$B,HELPER!$E:$E,"")," "))</f>
        <v/>
      </c>
      <c r="J22" s="71">
        <f>IFERROR(H22*(IF(G22=8,I22*HELPER!$G$2,BOM!I22*HELPER!$G$3))," ")</f>
        <v/>
      </c>
      <c r="K22" s="6" t="n"/>
      <c r="L22" s="16">
        <f t="array" ref="L22">IFERROR(_xlfn.LET(_xlpm.pairs,_xlfn._xlws.FILTER($A$2:$D$391,($A$2:$A$391&lt;&gt;"")*(TRIM($D$2:$D$391)&lt;&gt;"")),_xlpm.uniquePairs,_xlfn.UNIQUE(_xlfn.HSTACK(INDEX(_xlpm.pairs,,1),INDEX(_xlpm.pairs,,4))),_xlpm.sortedPairs,_xlfn._xlws.SORT(_xlpm.uniquePairs,1,1),IF(ROW()-1&lt;=ROWS(_xlpm.sortedPairs),INDEX(_xlpm.sortedPairs,ROW()-1,1),"")),"")</f>
        <v/>
      </c>
      <c r="M22" s="17">
        <f t="array" ref="M22">IFERROR(_xlfn.LET(_xlpm.pairs,_xlfn._xlws.FILTER($A$2:$D$391,($A$2:$A$391&lt;&gt;"")*(TRIM($D$2:$D$391)&lt;&gt;"")),_xlpm.uniquePairs,_xlfn.UNIQUE(_xlfn.HSTACK(INDEX(_xlpm.pairs,,1),INDEX(_xlpm.pairs,,4))),_xlpm.sortedPairs,_xlfn._xlws.SORT(_xlpm.uniquePairs,1,1),IF(ROW()-1&lt;=ROWS(_xlpm.sortedPairs),INDEX(_xlpm.sortedPairs,ROW()-1,2),"")),"")</f>
        <v/>
      </c>
      <c r="N22" s="17">
        <f t="array" ref="N22">IF(OR(L22="",M22=""),"",IFERROR(INDEX($E$2:$E$391,MATCH(1,($A$2:$A$391=L22)*($D$2:$D$391=M22),0)),""))</f>
        <v/>
      </c>
      <c r="O22" s="70">
        <f>IF(OR(L22="",M22=""),"",SUMIFS($J$2:$J$391,$A$2:$A$391,L22,$D$2:$D$391,M22))</f>
        <v/>
      </c>
      <c r="P22" s="6" t="n"/>
      <c r="Q22" s="34">
        <f t="array" ref="Q22">IFERROR(INDEX($L$2:$L$391,MATCH(0,COUNTIF($Q$1:Q21,$L$2:$L$391)+IF($L$2:$L$391="",1,0),0)),"")</f>
        <v/>
      </c>
      <c r="R22" s="552">
        <f>IF(Q22="","",SUMIF($L$2:$L$391,Q22,$O$2:$O$391))</f>
        <v/>
      </c>
      <c r="S22" s="553">
        <f>IFERROR(Table3[[#This Row],[Price (€/kg)]]*HELPER!$AK$2," ")</f>
        <v/>
      </c>
    </row>
    <row r="23">
      <c r="A23" s="40" t="inlineStr">
        <is>
          <t>TIPA 302FG</t>
        </is>
      </c>
      <c r="B23" s="41" t="inlineStr">
        <is>
          <t>Ext. C (In)</t>
        </is>
      </c>
      <c r="C23" s="43" t="inlineStr">
        <is>
          <t>PLA</t>
        </is>
      </c>
      <c r="D23" s="43">
        <f>IF(C23="","",IFERROR(_xlfn.XLOOKUP(C23,HELPER!$A$2:$A$76,HELPER!$B$2:$B$76,""),D23))</f>
        <v/>
      </c>
      <c r="E23" s="43">
        <f>IFERROR(_xlfn.XLOOKUP(D23,HELPER!$B:$B,HELPER!$C:$C,""),"")</f>
        <v/>
      </c>
      <c r="F23" s="42">
        <f>IFERROR(_xlfn.XLOOKUP(D23,HELPER!$B:$B,HELPER!$D:$D,""),"")</f>
        <v/>
      </c>
      <c r="G23" s="42" t="n">
        <v>8</v>
      </c>
      <c r="H23" s="551" t="n">
        <v>0.144</v>
      </c>
      <c r="I23" s="36">
        <f>IF(AND(H23&lt;&gt;"",IFERROR(_xlfn.XLOOKUP(D23,HELPER!$B:$B,HELPER!$E:$E,""),"")=""),"Missing price",IFERROR(_xlfn.XLOOKUP(D23,HELPER!$B:$B,HELPER!$E:$E,"")," "))</f>
        <v/>
      </c>
      <c r="J23" s="71">
        <f>IFERROR(H23*(IF(G23=8,I23*HELPER!$G$2,BOM!I23*HELPER!$G$3))," ")</f>
        <v/>
      </c>
      <c r="K23" s="6" t="n"/>
      <c r="L23" s="14">
        <f t="array" ref="L23">IFERROR(_xlfn.LET(_xlpm.pairs,_xlfn._xlws.FILTER($A$2:$D$391,($A$2:$A$391&lt;&gt;"")*(TRIM($D$2:$D$391)&lt;&gt;"")),_xlpm.uniquePairs,_xlfn.UNIQUE(_xlfn.HSTACK(INDEX(_xlpm.pairs,,1),INDEX(_xlpm.pairs,,4))),_xlpm.sortedPairs,_xlfn._xlws.SORT(_xlpm.uniquePairs,1,1),IF(ROW()-1&lt;=ROWS(_xlpm.sortedPairs),INDEX(_xlpm.sortedPairs,ROW()-1,1),"")),"")</f>
        <v/>
      </c>
      <c r="M23" s="15">
        <f t="array" ref="M23">IFERROR(_xlfn.LET(_xlpm.pairs,_xlfn._xlws.FILTER($A$2:$D$391,($A$2:$A$391&lt;&gt;"")*(TRIM($D$2:$D$391)&lt;&gt;"")),_xlpm.uniquePairs,_xlfn.UNIQUE(_xlfn.HSTACK(INDEX(_xlpm.pairs,,1),INDEX(_xlpm.pairs,,4))),_xlpm.sortedPairs,_xlfn._xlws.SORT(_xlpm.uniquePairs,1,1),IF(ROW()-1&lt;=ROWS(_xlpm.sortedPairs),INDEX(_xlpm.sortedPairs,ROW()-1,2),"")),"")</f>
        <v/>
      </c>
      <c r="N23" s="15">
        <f t="array" ref="N23">IF(OR(L23="",M23=""),"",IFERROR(INDEX($E$2:$E$391,MATCH(1,($A$2:$A$391=L23)*($D$2:$D$391=M23),0)),""))</f>
        <v/>
      </c>
      <c r="O23" s="69">
        <f>IF(OR(L23="",M23=""),"",SUMIFS($J$2:$J$391,$A$2:$A$391,L23,$D$2:$D$391,M23))</f>
        <v/>
      </c>
      <c r="P23" s="6" t="n"/>
      <c r="Q23" s="35">
        <f t="array" ref="Q23">IFERROR(INDEX($L$2:$L$391,MATCH(0,COUNTIF($Q$1:Q22,$L$2:$L$391)+IF($L$2:$L$391="",1,0),0)),"")</f>
        <v/>
      </c>
      <c r="R23" s="554">
        <f>IF(Q23="","",SUMIF($L$2:$L$391,Q23,$O$2:$O$391))</f>
        <v/>
      </c>
      <c r="S23" s="555">
        <f>IFERROR(Table3[[#This Row],[Price (€/kg)]]*HELPER!$AK$2," ")</f>
        <v/>
      </c>
    </row>
    <row r="24">
      <c r="A24" s="40" t="inlineStr">
        <is>
          <t>TIPA 302FG</t>
        </is>
      </c>
      <c r="B24" s="41" t="inlineStr">
        <is>
          <t>Ext. C (In)</t>
        </is>
      </c>
      <c r="C24" s="43" t="inlineStr">
        <is>
          <t>AB-PLA</t>
        </is>
      </c>
      <c r="D24" s="43">
        <f>IF(C24="","",IFERROR(_xlfn.XLOOKUP(C24,HELPER!$A$2:$A$76,HELPER!$B$2:$B$76,""),D24))</f>
        <v/>
      </c>
      <c r="E24" s="43">
        <f>IFERROR(_xlfn.XLOOKUP(D24,HELPER!$B:$B,HELPER!$C:$C,""),"")</f>
        <v/>
      </c>
      <c r="F24" s="42">
        <f>IFERROR(_xlfn.XLOOKUP(D24,HELPER!$B:$B,HELPER!$D:$D,""),"")</f>
        <v/>
      </c>
      <c r="G24" s="42" t="n">
        <v>8</v>
      </c>
      <c r="H24" s="551" t="n">
        <v>0.015</v>
      </c>
      <c r="I24" s="36">
        <f>IF(AND(H24&lt;&gt;"",IFERROR(_xlfn.XLOOKUP(D24,HELPER!$B:$B,HELPER!$E:$E,""),"")=""),"Missing price",IFERROR(_xlfn.XLOOKUP(D24,HELPER!$B:$B,HELPER!$E:$E,"")," "))</f>
        <v/>
      </c>
      <c r="J24" s="71">
        <f>IFERROR(H24*(IF(G24=8,I24*HELPER!$G$2,BOM!I24*HELPER!$G$3))," ")</f>
        <v/>
      </c>
      <c r="K24" s="6" t="n"/>
      <c r="L24" s="16">
        <f t="array" ref="L24">IFERROR(_xlfn.LET(_xlpm.pairs,_xlfn._xlws.FILTER($A$2:$D$391,($A$2:$A$391&lt;&gt;"")*(TRIM($D$2:$D$391)&lt;&gt;"")),_xlpm.uniquePairs,_xlfn.UNIQUE(_xlfn.HSTACK(INDEX(_xlpm.pairs,,1),INDEX(_xlpm.pairs,,4))),_xlpm.sortedPairs,_xlfn._xlws.SORT(_xlpm.uniquePairs,1,1),IF(ROW()-1&lt;=ROWS(_xlpm.sortedPairs),INDEX(_xlpm.sortedPairs,ROW()-1,1),"")),"")</f>
        <v/>
      </c>
      <c r="M24" s="17">
        <f t="array" ref="M24">IFERROR(_xlfn.LET(_xlpm.pairs,_xlfn._xlws.FILTER($A$2:$D$391,($A$2:$A$391&lt;&gt;"")*(TRIM($D$2:$D$391)&lt;&gt;"")),_xlpm.uniquePairs,_xlfn.UNIQUE(_xlfn.HSTACK(INDEX(_xlpm.pairs,,1),INDEX(_xlpm.pairs,,4))),_xlpm.sortedPairs,_xlfn._xlws.SORT(_xlpm.uniquePairs,1,1),IF(ROW()-1&lt;=ROWS(_xlpm.sortedPairs),INDEX(_xlpm.sortedPairs,ROW()-1,2),"")),"")</f>
        <v/>
      </c>
      <c r="N24" s="17">
        <f t="array" ref="N24">IF(OR(L24="",M24=""),"",IFERROR(INDEX($E$2:$E$391,MATCH(1,($A$2:$A$391=L24)*($D$2:$D$391=M24),0)),""))</f>
        <v/>
      </c>
      <c r="O24" s="70">
        <f>IF(OR(L24="",M24=""),"",SUMIFS($J$2:$J$391,$A$2:$A$391,L24,$D$2:$D$391,M24))</f>
        <v/>
      </c>
      <c r="P24" s="6" t="n"/>
      <c r="Q24" s="34">
        <f t="array" ref="Q24">IFERROR(INDEX($L$2:$L$391,MATCH(0,COUNTIF($Q$1:Q23,$L$2:$L$391)+IF($L$2:$L$391="",1,0),0)),"")</f>
        <v/>
      </c>
      <c r="R24" s="552">
        <f>IF(Q24="","",SUMIF($L$2:$L$391,Q24,$O$2:$O$391))</f>
        <v/>
      </c>
      <c r="S24" s="553">
        <f>IFERROR(Table3[[#This Row],[Price (€/kg)]]*HELPER!$AK$2," ")</f>
        <v/>
      </c>
    </row>
    <row r="25">
      <c r="A25" s="40" t="inlineStr">
        <is>
          <t>TIPA 302FG</t>
        </is>
      </c>
      <c r="B25" s="41" t="inlineStr">
        <is>
          <t>Ext. C (In)</t>
        </is>
      </c>
      <c r="C25" s="43" t="inlineStr">
        <is>
          <t>AO-PBS</t>
        </is>
      </c>
      <c r="D25" s="43">
        <f>IF(C25="","",IFERROR(_xlfn.XLOOKUP(C25,HELPER!$A$2:$A$76,HELPER!$B$2:$B$76,""),D25))</f>
        <v/>
      </c>
      <c r="E25" s="43">
        <f>IFERROR(_xlfn.XLOOKUP(D25,HELPER!$B:$B,HELPER!$C:$C,""),"")</f>
        <v/>
      </c>
      <c r="F25" s="42">
        <f>IFERROR(_xlfn.XLOOKUP(D25,HELPER!$B:$B,HELPER!$D:$D,""),"")</f>
        <v/>
      </c>
      <c r="G25" s="42" t="n">
        <v>8</v>
      </c>
      <c r="H25" s="551" t="n">
        <v>0.015</v>
      </c>
      <c r="I25" s="36">
        <f>IF(AND(H25&lt;&gt;"",IFERROR(_xlfn.XLOOKUP(D25,HELPER!$B:$B,HELPER!$E:$E,""),"")=""),"Missing price",IFERROR(_xlfn.XLOOKUP(D25,HELPER!$B:$B,HELPER!$E:$E,"")," "))</f>
        <v/>
      </c>
      <c r="J25" s="71">
        <f>IFERROR(H25*(IF(G25=8,I25*HELPER!$G$2,BOM!I25*HELPER!$G$3))," ")</f>
        <v/>
      </c>
      <c r="K25" s="6" t="n"/>
      <c r="L25" s="14">
        <f t="array" ref="L25">IFERROR(_xlfn.LET(_xlpm.pairs,_xlfn._xlws.FILTER($A$2:$D$391,($A$2:$A$391&lt;&gt;"")*(TRIM($D$2:$D$391)&lt;&gt;"")),_xlpm.uniquePairs,_xlfn.UNIQUE(_xlfn.HSTACK(INDEX(_xlpm.pairs,,1),INDEX(_xlpm.pairs,,4))),_xlpm.sortedPairs,_xlfn._xlws.SORT(_xlpm.uniquePairs,1,1),IF(ROW()-1&lt;=ROWS(_xlpm.sortedPairs),INDEX(_xlpm.sortedPairs,ROW()-1,1),"")),"")</f>
        <v/>
      </c>
      <c r="M25" s="15">
        <f t="array" ref="M25">IFERROR(_xlfn.LET(_xlpm.pairs,_xlfn._xlws.FILTER($A$2:$D$391,($A$2:$A$391&lt;&gt;"")*(TRIM($D$2:$D$391)&lt;&gt;"")),_xlpm.uniquePairs,_xlfn.UNIQUE(_xlfn.HSTACK(INDEX(_xlpm.pairs,,1),INDEX(_xlpm.pairs,,4))),_xlpm.sortedPairs,_xlfn._xlws.SORT(_xlpm.uniquePairs,1,1),IF(ROW()-1&lt;=ROWS(_xlpm.sortedPairs),INDEX(_xlpm.sortedPairs,ROW()-1,2),"")),"")</f>
        <v/>
      </c>
      <c r="N25" s="15">
        <f t="array" ref="N25">IF(OR(L25="",M25=""),"",IFERROR(INDEX($E$2:$E$391,MATCH(1,($A$2:$A$391=L25)*($D$2:$D$391=M25),0)),""))</f>
        <v/>
      </c>
      <c r="O25" s="69">
        <f>IF(OR(L25="",M25=""),"",SUMIFS($J$2:$J$391,$A$2:$A$391,L25,$D$2:$D$391,M25))</f>
        <v/>
      </c>
      <c r="P25" s="6" t="n"/>
      <c r="Q25" s="35">
        <f t="array" ref="Q25">IFERROR(INDEX($L$2:$L$391,MATCH(0,COUNTIF($Q$1:Q24,$L$2:$L$391)+IF($L$2:$L$391="",1,0),0)),"")</f>
        <v/>
      </c>
      <c r="R25" s="554">
        <f>IF(Q25="","",SUMIF($L$2:$L$391,Q25,$O$2:$O$391))</f>
        <v/>
      </c>
      <c r="S25" s="555">
        <f>IFERROR(Table3[[#This Row],[Price (€/kg)]]*HELPER!$AK$2," ")</f>
        <v/>
      </c>
    </row>
    <row r="26">
      <c r="A26" s="40" t="inlineStr">
        <is>
          <t>TIPA 302FG</t>
        </is>
      </c>
      <c r="B26" s="41" t="inlineStr">
        <is>
          <t>Ext. C (In)</t>
        </is>
      </c>
      <c r="C26" s="43" t="inlineStr">
        <is>
          <t>SLAB-PBSA</t>
        </is>
      </c>
      <c r="D26" s="43">
        <f>IF(C26="","",IFERROR(_xlfn.XLOOKUP(C26,HELPER!$A$2:$A$76,HELPER!$B$2:$B$76,""),D26))</f>
        <v/>
      </c>
      <c r="E26" s="43">
        <f>IFERROR(_xlfn.XLOOKUP(D26,HELPER!$B:$B,HELPER!$C:$C,""),"")</f>
        <v/>
      </c>
      <c r="F26" s="42">
        <f>IFERROR(_xlfn.XLOOKUP(D26,HELPER!$B:$B,HELPER!$D:$D,""),"")</f>
        <v/>
      </c>
      <c r="G26" s="42" t="n">
        <v>8</v>
      </c>
      <c r="H26" s="551" t="n">
        <v>0.008</v>
      </c>
      <c r="I26" s="36">
        <f>IF(AND(H26&lt;&gt;"",IFERROR(_xlfn.XLOOKUP(D26,HELPER!$B:$B,HELPER!$E:$E,""),"")=""),"Missing price",IFERROR(_xlfn.XLOOKUP(D26,HELPER!$B:$B,HELPER!$E:$E,"")," "))</f>
        <v/>
      </c>
      <c r="J26" s="71">
        <f>IFERROR(H26*(IF(G26=8,I26*HELPER!$G$2,BOM!I26*HELPER!$G$3))," ")</f>
        <v/>
      </c>
      <c r="K26" s="6" t="n"/>
      <c r="L26" s="16">
        <f t="array" ref="L26">IFERROR(_xlfn.LET(_xlpm.pairs,_xlfn._xlws.FILTER($A$2:$D$391,($A$2:$A$391&lt;&gt;"")*(TRIM($D$2:$D$391)&lt;&gt;"")),_xlpm.uniquePairs,_xlfn.UNIQUE(_xlfn.HSTACK(INDEX(_xlpm.pairs,,1),INDEX(_xlpm.pairs,,4))),_xlpm.sortedPairs,_xlfn._xlws.SORT(_xlpm.uniquePairs,1,1),IF(ROW()-1&lt;=ROWS(_xlpm.sortedPairs),INDEX(_xlpm.sortedPairs,ROW()-1,1),"")),"")</f>
        <v/>
      </c>
      <c r="M26" s="17">
        <f t="array" ref="M26">IFERROR(_xlfn.LET(_xlpm.pairs,_xlfn._xlws.FILTER($A$2:$D$391,($A$2:$A$391&lt;&gt;"")*(TRIM($D$2:$D$391)&lt;&gt;"")),_xlpm.uniquePairs,_xlfn.UNIQUE(_xlfn.HSTACK(INDEX(_xlpm.pairs,,1),INDEX(_xlpm.pairs,,4))),_xlpm.sortedPairs,_xlfn._xlws.SORT(_xlpm.uniquePairs,1,1),IF(ROW()-1&lt;=ROWS(_xlpm.sortedPairs),INDEX(_xlpm.sortedPairs,ROW()-1,2),"")),"")</f>
        <v/>
      </c>
      <c r="N26" s="17">
        <f t="array" ref="N26">IF(OR(L26="",M26=""),"",IFERROR(INDEX($E$2:$E$391,MATCH(1,($A$2:$A$391=L26)*($D$2:$D$391=M26),0)),""))</f>
        <v/>
      </c>
      <c r="O26" s="70">
        <f>IF(OR(L26="",M26=""),"",SUMIFS($J$2:$J$391,$A$2:$A$391,L26,$D$2:$D$391,M26))</f>
        <v/>
      </c>
      <c r="P26" s="6" t="n"/>
      <c r="Q26" s="34">
        <f t="array" ref="Q26">IFERROR(INDEX($L$2:$L$391,MATCH(0,COUNTIF($Q$1:Q25,$L$2:$L$391)+IF($L$2:$L$391="",1,0),0)),"")</f>
        <v/>
      </c>
      <c r="R26" s="552">
        <f>IF(Q26="","",SUMIF($L$2:$L$391,Q26,$O$2:$O$391))</f>
        <v/>
      </c>
      <c r="S26" s="553">
        <f>IFERROR(Table3[[#This Row],[Price (€/kg)]]*HELPER!$AK$2," ")</f>
        <v/>
      </c>
    </row>
    <row r="27">
      <c r="A27" s="40" t="inlineStr">
        <is>
          <t>TIPA 302FG</t>
        </is>
      </c>
      <c r="B27" s="41" t="inlineStr">
        <is>
          <t>Ext. C (In)</t>
        </is>
      </c>
      <c r="C27" s="43" t="n"/>
      <c r="D27" s="43">
        <f>IF(C27="","",IFERROR(_xlfn.XLOOKUP(C27,HELPER!$A$2:$A$76,HELPER!$B$2:$B$76,""),D27))</f>
        <v/>
      </c>
      <c r="E27" s="43">
        <f>IFERROR(_xlfn.XLOOKUP(D27,HELPER!$B:$B,HELPER!$C:$C,""),"")</f>
        <v/>
      </c>
      <c r="F27" s="42">
        <f>IFERROR(_xlfn.XLOOKUP(D27,HELPER!$B:$B,HELPER!$D:$D,""),"")</f>
        <v/>
      </c>
      <c r="G27" s="42" t="n">
        <v>8</v>
      </c>
      <c r="H27" s="551" t="n"/>
      <c r="I27" s="36">
        <f>IF(AND(H27&lt;&gt;"",IFERROR(_xlfn.XLOOKUP(D27,HELPER!$B:$B,HELPER!$E:$E,""),"")=""),"Missing price",IFERROR(_xlfn.XLOOKUP(D27,HELPER!$B:$B,HELPER!$E:$E,"")," "))</f>
        <v/>
      </c>
      <c r="J27" s="71">
        <f>IFERROR(H27*(IF(G27=8,I27*HELPER!$G$2,BOM!I27*HELPER!$G$3))," ")</f>
        <v/>
      </c>
      <c r="K27" s="6" t="n"/>
      <c r="L27" s="14">
        <f t="array" ref="L27">IFERROR(_xlfn.LET(_xlpm.pairs,_xlfn._xlws.FILTER($A$2:$D$391,($A$2:$A$391&lt;&gt;"")*(TRIM($D$2:$D$391)&lt;&gt;"")),_xlpm.uniquePairs,_xlfn.UNIQUE(_xlfn.HSTACK(INDEX(_xlpm.pairs,,1),INDEX(_xlpm.pairs,,4))),_xlpm.sortedPairs,_xlfn._xlws.SORT(_xlpm.uniquePairs,1,1),IF(ROW()-1&lt;=ROWS(_xlpm.sortedPairs),INDEX(_xlpm.sortedPairs,ROW()-1,1),"")),"")</f>
        <v/>
      </c>
      <c r="M27" s="15">
        <f t="array" ref="M27">IFERROR(_xlfn.LET(_xlpm.pairs,_xlfn._xlws.FILTER($A$2:$D$391,($A$2:$A$391&lt;&gt;"")*(TRIM($D$2:$D$391)&lt;&gt;"")),_xlpm.uniquePairs,_xlfn.UNIQUE(_xlfn.HSTACK(INDEX(_xlpm.pairs,,1),INDEX(_xlpm.pairs,,4))),_xlpm.sortedPairs,_xlfn._xlws.SORT(_xlpm.uniquePairs,1,1),IF(ROW()-1&lt;=ROWS(_xlpm.sortedPairs),INDEX(_xlpm.sortedPairs,ROW()-1,2),"")),"")</f>
        <v/>
      </c>
      <c r="N27" s="15">
        <f t="array" ref="N27">IF(OR(L27="",M27=""),"",IFERROR(INDEX($E$2:$E$391,MATCH(1,($A$2:$A$391=L27)*($D$2:$D$391=M27),0)),""))</f>
        <v/>
      </c>
      <c r="O27" s="69">
        <f>IF(OR(L27="",M27=""),"",SUMIFS($J$2:$J$391,$A$2:$A$391,L27,$D$2:$D$391,M27))</f>
        <v/>
      </c>
      <c r="P27" s="6" t="n"/>
      <c r="Q27" s="35">
        <f t="array" ref="Q27">IFERROR(INDEX($L$2:$L$391,MATCH(0,COUNTIF($Q$1:Q26,$L$2:$L$391)+IF($L$2:$L$391="",1,0),0)),"")</f>
        <v/>
      </c>
      <c r="R27" s="554">
        <f>IF(Q27="","",SUMIF($L$2:$L$391,Q27,$O$2:$O$391))</f>
        <v/>
      </c>
      <c r="S27" s="555">
        <f>IFERROR(Table3[[#This Row],[Price (€/kg)]]*HELPER!$AK$2," ")</f>
        <v/>
      </c>
    </row>
    <row r="28">
      <c r="A28" s="40" t="inlineStr">
        <is>
          <t>TIPA 302FG</t>
        </is>
      </c>
      <c r="B28" s="41" t="inlineStr">
        <is>
          <t>Ext. C (In)</t>
        </is>
      </c>
      <c r="C28" s="43" t="n"/>
      <c r="D28" s="43">
        <f>IF(C28="","",IFERROR(_xlfn.XLOOKUP(C28,HELPER!$A$2:$A$76,HELPER!$B$2:$B$76,""),D28))</f>
        <v/>
      </c>
      <c r="E28" s="43">
        <f>IFERROR(_xlfn.XLOOKUP(D28,HELPER!$B:$B,HELPER!$C:$C,""),"")</f>
        <v/>
      </c>
      <c r="F28" s="42">
        <f>IFERROR(_xlfn.XLOOKUP(D28,HELPER!$B:$B,HELPER!$D:$D,""),"")</f>
        <v/>
      </c>
      <c r="G28" s="42" t="n">
        <v>8</v>
      </c>
      <c r="H28" s="551" t="n"/>
      <c r="I28" s="36">
        <f>IF(AND(H28&lt;&gt;"",IFERROR(_xlfn.XLOOKUP(D28,HELPER!$B:$B,HELPER!$E:$E,""),"")=""),"Missing price",IFERROR(_xlfn.XLOOKUP(D28,HELPER!$B:$B,HELPER!$E:$E,"")," "))</f>
        <v/>
      </c>
      <c r="J28" s="71">
        <f>IFERROR(H28*(IF(G28=8,I28*HELPER!$G$2,BOM!I28*HELPER!$G$3))," ")</f>
        <v/>
      </c>
      <c r="K28" s="6" t="n"/>
      <c r="L28" s="16">
        <f t="array" ref="L28">IFERROR(_xlfn.LET(_xlpm.pairs,_xlfn._xlws.FILTER($A$2:$D$391,($A$2:$A$391&lt;&gt;"")*(TRIM($D$2:$D$391)&lt;&gt;"")),_xlpm.uniquePairs,_xlfn.UNIQUE(_xlfn.HSTACK(INDEX(_xlpm.pairs,,1),INDEX(_xlpm.pairs,,4))),_xlpm.sortedPairs,_xlfn._xlws.SORT(_xlpm.uniquePairs,1,1),IF(ROW()-1&lt;=ROWS(_xlpm.sortedPairs),INDEX(_xlpm.sortedPairs,ROW()-1,1),"")),"")</f>
        <v/>
      </c>
      <c r="M28" s="17">
        <f t="array" ref="M28">IFERROR(_xlfn.LET(_xlpm.pairs,_xlfn._xlws.FILTER($A$2:$D$391,($A$2:$A$391&lt;&gt;"")*(TRIM($D$2:$D$391)&lt;&gt;"")),_xlpm.uniquePairs,_xlfn.UNIQUE(_xlfn.HSTACK(INDEX(_xlpm.pairs,,1),INDEX(_xlpm.pairs,,4))),_xlpm.sortedPairs,_xlfn._xlws.SORT(_xlpm.uniquePairs,1,1),IF(ROW()-1&lt;=ROWS(_xlpm.sortedPairs),INDEX(_xlpm.sortedPairs,ROW()-1,2),"")),"")</f>
        <v/>
      </c>
      <c r="N28" s="17">
        <f t="array" ref="N28">IF(OR(L28="",M28=""),"",IFERROR(INDEX($E$2:$E$391,MATCH(1,($A$2:$A$391=L28)*($D$2:$D$391=M28),0)),""))</f>
        <v/>
      </c>
      <c r="O28" s="70">
        <f>IF(OR(L28="",M28=""),"",SUMIFS($J$2:$J$391,$A$2:$A$391,L28,$D$2:$D$391,M28))</f>
        <v/>
      </c>
      <c r="P28" s="6" t="n"/>
      <c r="Q28" s="34">
        <f t="array" ref="Q28">IFERROR(INDEX($L$2:$L$391,MATCH(0,COUNTIF($Q$1:Q27,$L$2:$L$391)+IF($L$2:$L$391="",1,0),0)),"")</f>
        <v/>
      </c>
      <c r="R28" s="552">
        <f>IF(Q28="","",SUMIF($L$2:$L$391,Q28,$O$2:$O$391))</f>
        <v/>
      </c>
      <c r="S28" s="553">
        <f>IFERROR(Table3[[#This Row],[Price (€/kg)]]*HELPER!$AK$2," ")</f>
        <v/>
      </c>
    </row>
    <row r="29">
      <c r="A29" s="40" t="inlineStr">
        <is>
          <t>TIPA 302FG</t>
        </is>
      </c>
      <c r="B29" s="41" t="inlineStr">
        <is>
          <t>Ext. C (In)</t>
        </is>
      </c>
      <c r="C29" s="43" t="n"/>
      <c r="D29" s="43">
        <f>IF(C29="","",IFERROR(_xlfn.XLOOKUP(C29,HELPER!$A$2:$A$76,HELPER!$B$2:$B$76,""),D29))</f>
        <v/>
      </c>
      <c r="E29" s="43">
        <f>IFERROR(_xlfn.XLOOKUP(D29,HELPER!$B:$B,HELPER!$C:$C,""),"")</f>
        <v/>
      </c>
      <c r="F29" s="42">
        <f>IFERROR(_xlfn.XLOOKUP(D29,HELPER!$B:$B,HELPER!$D:$D,""),"")</f>
        <v/>
      </c>
      <c r="G29" s="42" t="n">
        <v>8</v>
      </c>
      <c r="H29" s="551" t="n"/>
      <c r="I29" s="36">
        <f>IF(AND(H29&lt;&gt;"",IFERROR(_xlfn.XLOOKUP(D29,HELPER!$B:$B,HELPER!$E:$E,""),"")=""),"Missing price",IFERROR(_xlfn.XLOOKUP(D29,HELPER!$B:$B,HELPER!$E:$E,"")," "))</f>
        <v/>
      </c>
      <c r="J29" s="71">
        <f>IFERROR(H29*(IF(G29=8,I29*HELPER!$G$2,BOM!I29*HELPER!$G$3))," ")</f>
        <v/>
      </c>
      <c r="K29" s="6" t="n"/>
      <c r="L29" s="14">
        <f t="array" ref="L29">IFERROR(_xlfn.LET(_xlpm.pairs,_xlfn._xlws.FILTER($A$2:$D$391,($A$2:$A$391&lt;&gt;"")*(TRIM($D$2:$D$391)&lt;&gt;"")),_xlpm.uniquePairs,_xlfn.UNIQUE(_xlfn.HSTACK(INDEX(_xlpm.pairs,,1),INDEX(_xlpm.pairs,,4))),_xlpm.sortedPairs,_xlfn._xlws.SORT(_xlpm.uniquePairs,1,1),IF(ROW()-1&lt;=ROWS(_xlpm.sortedPairs),INDEX(_xlpm.sortedPairs,ROW()-1,1),"")),"")</f>
        <v/>
      </c>
      <c r="M29" s="15">
        <f t="array" ref="M29">IFERROR(_xlfn.LET(_xlpm.pairs,_xlfn._xlws.FILTER($A$2:$D$391,($A$2:$A$391&lt;&gt;"")*(TRIM($D$2:$D$391)&lt;&gt;"")),_xlpm.uniquePairs,_xlfn.UNIQUE(_xlfn.HSTACK(INDEX(_xlpm.pairs,,1),INDEX(_xlpm.pairs,,4))),_xlpm.sortedPairs,_xlfn._xlws.SORT(_xlpm.uniquePairs,1,1),IF(ROW()-1&lt;=ROWS(_xlpm.sortedPairs),INDEX(_xlpm.sortedPairs,ROW()-1,2),"")),"")</f>
        <v/>
      </c>
      <c r="N29" s="15">
        <f t="array" ref="N29">IF(OR(L29="",M29=""),"",IFERROR(INDEX($E$2:$E$391,MATCH(1,($A$2:$A$391=L29)*($D$2:$D$391=M29),0)),""))</f>
        <v/>
      </c>
      <c r="O29" s="69">
        <f>IF(OR(L29="",M29=""),"",SUMIFS($J$2:$J$391,$A$2:$A$391,L29,$D$2:$D$391,M29))</f>
        <v/>
      </c>
      <c r="P29" s="6" t="n"/>
      <c r="Q29" s="35">
        <f t="array" ref="Q29">IFERROR(INDEX($L$2:$L$391,MATCH(0,COUNTIF($Q$1:Q28,$L$2:$L$391)+IF($L$2:$L$391="",1,0),0)),"")</f>
        <v/>
      </c>
      <c r="R29" s="554">
        <f>IF(Q29="","",SUMIF($L$2:$L$391,Q29,$O$2:$O$391))</f>
        <v/>
      </c>
      <c r="S29" s="555">
        <f>IFERROR(Table3[[#This Row],[Price (€/kg)]]*HELPER!$AK$2," ")</f>
        <v/>
      </c>
    </row>
    <row r="30">
      <c r="A30" s="40" t="inlineStr">
        <is>
          <t>TIPA 302FG</t>
        </is>
      </c>
      <c r="B30" s="41" t="inlineStr">
        <is>
          <t>Ext. C (In)</t>
        </is>
      </c>
      <c r="C30" s="43" t="n"/>
      <c r="D30" s="43">
        <f>IF(C30="","",IFERROR(_xlfn.XLOOKUP(C30,HELPER!$A$2:$A$76,HELPER!$B$2:$B$76,""),D30))</f>
        <v/>
      </c>
      <c r="E30" s="43">
        <f>IFERROR(_xlfn.XLOOKUP(D30,HELPER!$B:$B,HELPER!$C:$C,""),"")</f>
        <v/>
      </c>
      <c r="F30" s="42">
        <f>IFERROR(_xlfn.XLOOKUP(D30,HELPER!$B:$B,HELPER!$D:$D,""),"")</f>
        <v/>
      </c>
      <c r="G30" s="42" t="n">
        <v>8</v>
      </c>
      <c r="H30" s="551" t="n"/>
      <c r="I30" s="36">
        <f>IF(AND(H30&lt;&gt;"",IFERROR(_xlfn.XLOOKUP(D30,HELPER!$B:$B,HELPER!$E:$E,""),"")=""),"Missing price",IFERROR(_xlfn.XLOOKUP(D30,HELPER!$B:$B,HELPER!$E:$E,"")," "))</f>
        <v/>
      </c>
      <c r="J30" s="71">
        <f>IFERROR(H30*(IF(G30=8,I30*HELPER!$G$2,BOM!I30*HELPER!$G$3))," ")</f>
        <v/>
      </c>
      <c r="K30" s="6" t="n"/>
      <c r="L30" s="16">
        <f t="array" ref="L30">IFERROR(_xlfn.LET(_xlpm.pairs,_xlfn._xlws.FILTER($A$2:$D$391,($A$2:$A$391&lt;&gt;"")*(TRIM($D$2:$D$391)&lt;&gt;"")),_xlpm.uniquePairs,_xlfn.UNIQUE(_xlfn.HSTACK(INDEX(_xlpm.pairs,,1),INDEX(_xlpm.pairs,,4))),_xlpm.sortedPairs,_xlfn._xlws.SORT(_xlpm.uniquePairs,1,1),IF(ROW()-1&lt;=ROWS(_xlpm.sortedPairs),INDEX(_xlpm.sortedPairs,ROW()-1,1),"")),"")</f>
        <v/>
      </c>
      <c r="M30" s="17">
        <f t="array" ref="M30">IFERROR(_xlfn.LET(_xlpm.pairs,_xlfn._xlws.FILTER($A$2:$D$391,($A$2:$A$391&lt;&gt;"")*(TRIM($D$2:$D$391)&lt;&gt;"")),_xlpm.uniquePairs,_xlfn.UNIQUE(_xlfn.HSTACK(INDEX(_xlpm.pairs,,1),INDEX(_xlpm.pairs,,4))),_xlpm.sortedPairs,_xlfn._xlws.SORT(_xlpm.uniquePairs,1,1),IF(ROW()-1&lt;=ROWS(_xlpm.sortedPairs),INDEX(_xlpm.sortedPairs,ROW()-1,2),"")),"")</f>
        <v/>
      </c>
      <c r="N30" s="17">
        <f t="array" ref="N30">IF(OR(L30="",M30=""),"",IFERROR(INDEX($E$2:$E$391,MATCH(1,($A$2:$A$391=L30)*($D$2:$D$391=M30),0)),""))</f>
        <v/>
      </c>
      <c r="O30" s="70">
        <f>IF(OR(L30="",M30=""),"",SUMIFS($J$2:$J$391,$A$2:$A$391,L30,$D$2:$D$391,M30))</f>
        <v/>
      </c>
      <c r="P30" s="6" t="n"/>
      <c r="Q30" s="34">
        <f t="array" ref="Q30">IFERROR(INDEX($L$2:$L$391,MATCH(0,COUNTIF($Q$1:Q29,$L$2:$L$391)+IF($L$2:$L$391="",1,0),0)),"")</f>
        <v/>
      </c>
      <c r="R30" s="552">
        <f>IF(Q30="","",SUMIF($L$2:$L$391,Q30,$O$2:$O$391))</f>
        <v/>
      </c>
      <c r="S30" s="553">
        <f>IFERROR(Table3[[#This Row],[Price (€/kg)]]*HELPER!$AK$2," ")</f>
        <v/>
      </c>
    </row>
    <row r="31">
      <c r="A31" s="40" t="inlineStr">
        <is>
          <t>TIPA 302FG</t>
        </is>
      </c>
      <c r="B31" s="41" t="inlineStr">
        <is>
          <t>Ext. C (In)</t>
        </is>
      </c>
      <c r="C31" s="43" t="n"/>
      <c r="D31" s="43">
        <f>IF(C31="","",IFERROR(_xlfn.XLOOKUP(C31,HELPER!$A$2:$A$76,HELPER!$B$2:$B$76,""),D31))</f>
        <v/>
      </c>
      <c r="E31" s="43">
        <f>IFERROR(_xlfn.XLOOKUP(D31,HELPER!$B:$B,HELPER!$C:$C,""),"")</f>
        <v/>
      </c>
      <c r="F31" s="42">
        <f>IFERROR(_xlfn.XLOOKUP(D31,HELPER!$B:$B,HELPER!$D:$D,""),"")</f>
        <v/>
      </c>
      <c r="G31" s="42" t="n">
        <v>8</v>
      </c>
      <c r="H31" s="551" t="n"/>
      <c r="I31" s="36">
        <f>IF(AND(H31&lt;&gt;"",IFERROR(_xlfn.XLOOKUP(D31,HELPER!$B:$B,HELPER!$E:$E,""),"")=""),"Missing price",IFERROR(_xlfn.XLOOKUP(D31,HELPER!$B:$B,HELPER!$E:$E,"")," "))</f>
        <v/>
      </c>
      <c r="J31" s="71">
        <f>IFERROR(H31*(IF(G31=8,I31*HELPER!$G$2,BOM!I31*HELPER!$G$3))," ")</f>
        <v/>
      </c>
      <c r="K31" s="6" t="n"/>
      <c r="L31" s="14">
        <f t="array" ref="L31">IFERROR(_xlfn.LET(_xlpm.pairs,_xlfn._xlws.FILTER($A$2:$D$391,($A$2:$A$391&lt;&gt;"")*(TRIM($D$2:$D$391)&lt;&gt;"")),_xlpm.uniquePairs,_xlfn.UNIQUE(_xlfn.HSTACK(INDEX(_xlpm.pairs,,1),INDEX(_xlpm.pairs,,4))),_xlpm.sortedPairs,_xlfn._xlws.SORT(_xlpm.uniquePairs,1,1),IF(ROW()-1&lt;=ROWS(_xlpm.sortedPairs),INDEX(_xlpm.sortedPairs,ROW()-1,1),"")),"")</f>
        <v/>
      </c>
      <c r="M31" s="15">
        <f t="array" ref="M31">IFERROR(_xlfn.LET(_xlpm.pairs,_xlfn._xlws.FILTER($A$2:$D$391,($A$2:$A$391&lt;&gt;"")*(TRIM($D$2:$D$391)&lt;&gt;"")),_xlpm.uniquePairs,_xlfn.UNIQUE(_xlfn.HSTACK(INDEX(_xlpm.pairs,,1),INDEX(_xlpm.pairs,,4))),_xlpm.sortedPairs,_xlfn._xlws.SORT(_xlpm.uniquePairs,1,1),IF(ROW()-1&lt;=ROWS(_xlpm.sortedPairs),INDEX(_xlpm.sortedPairs,ROW()-1,2),"")),"")</f>
        <v/>
      </c>
      <c r="N31" s="15">
        <f t="array" ref="N31">IF(OR(L31="",M31=""),"",IFERROR(INDEX($E$2:$E$391,MATCH(1,($A$2:$A$391=L31)*($D$2:$D$391=M31),0)),""))</f>
        <v/>
      </c>
      <c r="O31" s="69">
        <f>IF(OR(L31="",M31=""),"",SUMIFS($J$2:$J$391,$A$2:$A$391,L31,$D$2:$D$391,M31))</f>
        <v/>
      </c>
      <c r="P31" s="6" t="n"/>
      <c r="Q31" s="35">
        <f t="array" ref="Q31">IFERROR(INDEX($L$2:$L$391,MATCH(0,COUNTIF($Q$1:Q30,$L$2:$L$391)+IF($L$2:$L$391="",1,0),0)),"")</f>
        <v/>
      </c>
      <c r="R31" s="554">
        <f>IF(Q31="","",SUMIF($L$2:$L$391,Q31,$O$2:$O$391))</f>
        <v/>
      </c>
      <c r="S31" s="555">
        <f>IFERROR(Table3[[#This Row],[Price (€/kg)]]*HELPER!$AK$2," ")</f>
        <v/>
      </c>
    </row>
    <row r="32">
      <c r="A32" s="40" t="inlineStr">
        <is>
          <t>TIPA 302FG W</t>
        </is>
      </c>
      <c r="B32" s="41" t="inlineStr">
        <is>
          <t>Ext. A (Out - Chillroll)</t>
        </is>
      </c>
      <c r="C32" s="43" t="inlineStr">
        <is>
          <t>PBSA</t>
        </is>
      </c>
      <c r="D32" s="43">
        <f>IF(C32="","",IFERROR(_xlfn.XLOOKUP(C32,HELPER!$A$2:$A$76,HELPER!$B$2:$B$76,""),D32))</f>
        <v/>
      </c>
      <c r="E32" s="43">
        <f>IFERROR(_xlfn.XLOOKUP(D32,HELPER!$B:$B,HELPER!$C:$C,""),"")</f>
        <v/>
      </c>
      <c r="F32" s="42">
        <f>IFERROR(_xlfn.XLOOKUP(D32,HELPER!$B:$B,HELPER!$D:$D,""),"")</f>
        <v/>
      </c>
      <c r="G32" s="42" t="n">
        <v>8</v>
      </c>
      <c r="H32" s="551" t="n">
        <v>0.8100000000000001</v>
      </c>
      <c r="I32" s="36">
        <f>IF(AND(H32&lt;&gt;"",IFERROR(_xlfn.XLOOKUP(D32,HELPER!$B:$B,HELPER!$E:$E,""),"")=""),"Missing price",IFERROR(_xlfn.XLOOKUP(D32,HELPER!$B:$B,HELPER!$E:$E,"")," "))</f>
        <v/>
      </c>
      <c r="J32" s="71">
        <f>IFERROR(H32*(IF(G32=8,I32*HELPER!$G$2,BOM!I32*HELPER!$G$3))," ")</f>
        <v/>
      </c>
      <c r="K32" s="6" t="n"/>
      <c r="L32" s="16">
        <f t="array" ref="L32">IFERROR(_xlfn.LET(_xlpm.pairs,_xlfn._xlws.FILTER($A$2:$D$391,($A$2:$A$391&lt;&gt;"")*(TRIM($D$2:$D$391)&lt;&gt;"")),_xlpm.uniquePairs,_xlfn.UNIQUE(_xlfn.HSTACK(INDEX(_xlpm.pairs,,1),INDEX(_xlpm.pairs,,4))),_xlpm.sortedPairs,_xlfn._xlws.SORT(_xlpm.uniquePairs,1,1),IF(ROW()-1&lt;=ROWS(_xlpm.sortedPairs),INDEX(_xlpm.sortedPairs,ROW()-1,1),"")),"")</f>
        <v/>
      </c>
      <c r="M32" s="17">
        <f t="array" ref="M32">IFERROR(_xlfn.LET(_xlpm.pairs,_xlfn._xlws.FILTER($A$2:$D$391,($A$2:$A$391&lt;&gt;"")*(TRIM($D$2:$D$391)&lt;&gt;"")),_xlpm.uniquePairs,_xlfn.UNIQUE(_xlfn.HSTACK(INDEX(_xlpm.pairs,,1),INDEX(_xlpm.pairs,,4))),_xlpm.sortedPairs,_xlfn._xlws.SORT(_xlpm.uniquePairs,1,1),IF(ROW()-1&lt;=ROWS(_xlpm.sortedPairs),INDEX(_xlpm.sortedPairs,ROW()-1,2),"")),"")</f>
        <v/>
      </c>
      <c r="N32" s="17">
        <f t="array" ref="N32">IF(OR(L32="",M32=""),"",IFERROR(INDEX($E$2:$E$391,MATCH(1,($A$2:$A$391=L32)*($D$2:$D$391=M32),0)),""))</f>
        <v/>
      </c>
      <c r="O32" s="70">
        <f>IF(OR(L32="",M32=""),"",SUMIFS($J$2:$J$391,$A$2:$A$391,L32,$D$2:$D$391,M32))</f>
        <v/>
      </c>
      <c r="P32" s="6" t="n"/>
      <c r="Q32" s="34">
        <f t="array" ref="Q32">IFERROR(INDEX($L$2:$L$391,MATCH(0,COUNTIF($Q$1:Q31,$L$2:$L$391)+IF($L$2:$L$391="",1,0),0)),"")</f>
        <v/>
      </c>
      <c r="R32" s="552">
        <f>IF(Q32="","",SUMIF($L$2:$L$391,Q32,$O$2:$O$391))</f>
        <v/>
      </c>
      <c r="S32" s="553">
        <f>IFERROR(Table3[[#This Row],[Price (€/kg)]]*HELPER!$AK$2," ")</f>
        <v/>
      </c>
    </row>
    <row r="33">
      <c r="A33" s="40" t="inlineStr">
        <is>
          <t>TIPA 302FG W</t>
        </is>
      </c>
      <c r="B33" s="41" t="inlineStr">
        <is>
          <t>Ext. A (Out - Chillroll)</t>
        </is>
      </c>
      <c r="C33" s="43" t="inlineStr">
        <is>
          <t>PLA</t>
        </is>
      </c>
      <c r="D33" s="43">
        <f>IF(C33="","",IFERROR(_xlfn.XLOOKUP(C33,HELPER!$A$2:$A$76,HELPER!$B$2:$B$76,""),D33))</f>
        <v/>
      </c>
      <c r="E33" s="43">
        <f>IFERROR(_xlfn.XLOOKUP(D33,HELPER!$B:$B,HELPER!$C:$C,""),"")</f>
        <v/>
      </c>
      <c r="F33" s="42">
        <f>IFERROR(_xlfn.XLOOKUP(D33,HELPER!$B:$B,HELPER!$D:$D,""),"")</f>
        <v/>
      </c>
      <c r="G33" s="42" t="n">
        <v>8</v>
      </c>
      <c r="H33" s="551" t="n">
        <v>0.144</v>
      </c>
      <c r="I33" s="36">
        <f>IF(AND(H33&lt;&gt;"",IFERROR(_xlfn.XLOOKUP(D33,HELPER!$B:$B,HELPER!$E:$E,""),"")=""),"Missing price",IFERROR(_xlfn.XLOOKUP(D33,HELPER!$B:$B,HELPER!$E:$E,"")," "))</f>
        <v/>
      </c>
      <c r="J33" s="71">
        <f>IFERROR(H33*(IF(G33=8,I33*HELPER!$G$2,BOM!I33*HELPER!$G$3))," ")</f>
        <v/>
      </c>
      <c r="K33" s="6" t="n"/>
      <c r="L33" s="14">
        <f t="array" ref="L33">IFERROR(_xlfn.LET(_xlpm.pairs,_xlfn._xlws.FILTER($A$2:$D$391,($A$2:$A$391&lt;&gt;"")*(TRIM($D$2:$D$391)&lt;&gt;"")),_xlpm.uniquePairs,_xlfn.UNIQUE(_xlfn.HSTACK(INDEX(_xlpm.pairs,,1),INDEX(_xlpm.pairs,,4))),_xlpm.sortedPairs,_xlfn._xlws.SORT(_xlpm.uniquePairs,1,1),IF(ROW()-1&lt;=ROWS(_xlpm.sortedPairs),INDEX(_xlpm.sortedPairs,ROW()-1,1),"")),"")</f>
        <v/>
      </c>
      <c r="M33" s="15">
        <f t="array" ref="M33">IFERROR(_xlfn.LET(_xlpm.pairs,_xlfn._xlws.FILTER($A$2:$D$391,($A$2:$A$391&lt;&gt;"")*(TRIM($D$2:$D$391)&lt;&gt;"")),_xlpm.uniquePairs,_xlfn.UNIQUE(_xlfn.HSTACK(INDEX(_xlpm.pairs,,1),INDEX(_xlpm.pairs,,4))),_xlpm.sortedPairs,_xlfn._xlws.SORT(_xlpm.uniquePairs,1,1),IF(ROW()-1&lt;=ROWS(_xlpm.sortedPairs),INDEX(_xlpm.sortedPairs,ROW()-1,2),"")),"")</f>
        <v/>
      </c>
      <c r="N33" s="15">
        <f t="array" ref="N33">IF(OR(L33="",M33=""),"",IFERROR(INDEX($E$2:$E$391,MATCH(1,($A$2:$A$391=L33)*($D$2:$D$391=M33),0)),""))</f>
        <v/>
      </c>
      <c r="O33" s="69">
        <f>IF(OR(L33="",M33=""),"",SUMIFS($J$2:$J$391,$A$2:$A$391,L33,$D$2:$D$391,M33))</f>
        <v/>
      </c>
      <c r="P33" s="6" t="n"/>
      <c r="Q33" s="35">
        <f t="array" ref="Q33">IFERROR(INDEX($L$2:$L$391,MATCH(0,COUNTIF($Q$1:Q32,$L$2:$L$391)+IF($L$2:$L$391="",1,0),0)),"")</f>
        <v/>
      </c>
      <c r="R33" s="554">
        <f>IF(Q33="","",SUMIF($L$2:$L$391,Q33,$O$2:$O$391))</f>
        <v/>
      </c>
      <c r="S33" s="555">
        <f>IFERROR(Table3[[#This Row],[Price (€/kg)]]*HELPER!$AK$2," ")</f>
        <v/>
      </c>
    </row>
    <row r="34">
      <c r="A34" s="40" t="inlineStr">
        <is>
          <t>TIPA 302FG W</t>
        </is>
      </c>
      <c r="B34" s="41" t="inlineStr">
        <is>
          <t>Ext. A (Out - Chillroll)</t>
        </is>
      </c>
      <c r="C34" s="43" t="inlineStr">
        <is>
          <t>AB-PLA</t>
        </is>
      </c>
      <c r="D34" s="43">
        <f>IF(C34="","",IFERROR(_xlfn.XLOOKUP(C34,HELPER!$A$2:$A$76,HELPER!$B$2:$B$76,""),D34))</f>
        <v/>
      </c>
      <c r="E34" s="43">
        <f>IFERROR(_xlfn.XLOOKUP(D34,HELPER!$B:$B,HELPER!$C:$C,""),"")</f>
        <v/>
      </c>
      <c r="F34" s="42">
        <f>IFERROR(_xlfn.XLOOKUP(D34,HELPER!$B:$B,HELPER!$D:$D,""),"")</f>
        <v/>
      </c>
      <c r="G34" s="42" t="n">
        <v>8</v>
      </c>
      <c r="H34" s="551" t="n">
        <v>0.015</v>
      </c>
      <c r="I34" s="36">
        <f>IF(AND(H34&lt;&gt;"",IFERROR(_xlfn.XLOOKUP(D34,HELPER!$B:$B,HELPER!$E:$E,""),"")=""),"Missing price",IFERROR(_xlfn.XLOOKUP(D34,HELPER!$B:$B,HELPER!$E:$E,"")," "))</f>
        <v/>
      </c>
      <c r="J34" s="71">
        <f>IFERROR(H34*(IF(G34=8,I34*HELPER!$G$2,BOM!I34*HELPER!$G$3))," ")</f>
        <v/>
      </c>
      <c r="K34" s="6" t="n"/>
      <c r="L34" s="16">
        <f t="array" ref="L34">IFERROR(_xlfn.LET(_xlpm.pairs,_xlfn._xlws.FILTER($A$2:$D$391,($A$2:$A$391&lt;&gt;"")*(TRIM($D$2:$D$391)&lt;&gt;"")),_xlpm.uniquePairs,_xlfn.UNIQUE(_xlfn.HSTACK(INDEX(_xlpm.pairs,,1),INDEX(_xlpm.pairs,,4))),_xlpm.sortedPairs,_xlfn._xlws.SORT(_xlpm.uniquePairs,1,1),IF(ROW()-1&lt;=ROWS(_xlpm.sortedPairs),INDEX(_xlpm.sortedPairs,ROW()-1,1),"")),"")</f>
        <v/>
      </c>
      <c r="M34" s="17">
        <f t="array" ref="M34">IFERROR(_xlfn.LET(_xlpm.pairs,_xlfn._xlws.FILTER($A$2:$D$391,($A$2:$A$391&lt;&gt;"")*(TRIM($D$2:$D$391)&lt;&gt;"")),_xlpm.uniquePairs,_xlfn.UNIQUE(_xlfn.HSTACK(INDEX(_xlpm.pairs,,1),INDEX(_xlpm.pairs,,4))),_xlpm.sortedPairs,_xlfn._xlws.SORT(_xlpm.uniquePairs,1,1),IF(ROW()-1&lt;=ROWS(_xlpm.sortedPairs),INDEX(_xlpm.sortedPairs,ROW()-1,2),"")),"")</f>
        <v/>
      </c>
      <c r="N34" s="17">
        <f t="array" ref="N34">IF(OR(L34="",M34=""),"",IFERROR(INDEX($E$2:$E$391,MATCH(1,($A$2:$A$391=L34)*($D$2:$D$391=M34),0)),""))</f>
        <v/>
      </c>
      <c r="O34" s="70">
        <f>IF(OR(L34="",M34=""),"",SUMIFS($J$2:$J$391,$A$2:$A$391,L34,$D$2:$D$391,M34))</f>
        <v/>
      </c>
      <c r="P34" s="6" t="n"/>
      <c r="Q34" s="34">
        <f t="array" ref="Q34">IFERROR(INDEX($L$2:$L$391,MATCH(0,COUNTIF($Q$1:Q33,$L$2:$L$391)+IF($L$2:$L$391="",1,0),0)),"")</f>
        <v/>
      </c>
      <c r="R34" s="552">
        <f>IF(Q34="","",SUMIF($L$2:$L$391,Q34,$O$2:$O$391))</f>
        <v/>
      </c>
      <c r="S34" s="553">
        <f>IFERROR(Table3[[#This Row],[Price (€/kg)]]*HELPER!$AK$2," ")</f>
        <v/>
      </c>
    </row>
    <row r="35">
      <c r="A35" s="40" t="inlineStr">
        <is>
          <t>TIPA 302FG W</t>
        </is>
      </c>
      <c r="B35" s="41" t="inlineStr">
        <is>
          <t>Ext. A (Out - Chillroll)</t>
        </is>
      </c>
      <c r="C35" s="43" t="inlineStr">
        <is>
          <t>AO-PBS</t>
        </is>
      </c>
      <c r="D35" s="43">
        <f>IF(C35="","",IFERROR(_xlfn.XLOOKUP(C35,HELPER!$A$2:$A$76,HELPER!$B$2:$B$76,""),D35))</f>
        <v/>
      </c>
      <c r="E35" s="43">
        <f>IFERROR(_xlfn.XLOOKUP(D35,HELPER!$B:$B,HELPER!$C:$C,""),"")</f>
        <v/>
      </c>
      <c r="F35" s="42">
        <f>IFERROR(_xlfn.XLOOKUP(D35,HELPER!$B:$B,HELPER!$D:$D,""),"")</f>
        <v/>
      </c>
      <c r="G35" s="42" t="n">
        <v>8</v>
      </c>
      <c r="H35" s="551" t="n">
        <v>0.015</v>
      </c>
      <c r="I35" s="36">
        <f>IF(AND(H35&lt;&gt;"",IFERROR(_xlfn.XLOOKUP(D35,HELPER!$B:$B,HELPER!$E:$E,""),"")=""),"Missing price",IFERROR(_xlfn.XLOOKUP(D35,HELPER!$B:$B,HELPER!$E:$E,"")," "))</f>
        <v/>
      </c>
      <c r="J35" s="71">
        <f>IFERROR(H35*(IF(G35=8,I35*HELPER!$G$2,BOM!I35*HELPER!$G$3))," ")</f>
        <v/>
      </c>
      <c r="K35" s="6" t="n"/>
      <c r="L35" s="14">
        <f t="array" ref="L35">IFERROR(_xlfn.LET(_xlpm.pairs,_xlfn._xlws.FILTER($A$2:$D$391,($A$2:$A$391&lt;&gt;"")*(TRIM($D$2:$D$391)&lt;&gt;"")),_xlpm.uniquePairs,_xlfn.UNIQUE(_xlfn.HSTACK(INDEX(_xlpm.pairs,,1),INDEX(_xlpm.pairs,,4))),_xlpm.sortedPairs,_xlfn._xlws.SORT(_xlpm.uniquePairs,1,1),IF(ROW()-1&lt;=ROWS(_xlpm.sortedPairs),INDEX(_xlpm.sortedPairs,ROW()-1,1),"")),"")</f>
        <v/>
      </c>
      <c r="M35" s="15">
        <f t="array" ref="M35">IFERROR(_xlfn.LET(_xlpm.pairs,_xlfn._xlws.FILTER($A$2:$D$391,($A$2:$A$391&lt;&gt;"")*(TRIM($D$2:$D$391)&lt;&gt;"")),_xlpm.uniquePairs,_xlfn.UNIQUE(_xlfn.HSTACK(INDEX(_xlpm.pairs,,1),INDEX(_xlpm.pairs,,4))),_xlpm.sortedPairs,_xlfn._xlws.SORT(_xlpm.uniquePairs,1,1),IF(ROW()-1&lt;=ROWS(_xlpm.sortedPairs),INDEX(_xlpm.sortedPairs,ROW()-1,2),"")),"")</f>
        <v/>
      </c>
      <c r="N35" s="15">
        <f t="array" ref="N35">IF(OR(L35="",M35=""),"",IFERROR(INDEX($E$2:$E$391,MATCH(1,($A$2:$A$391=L35)*($D$2:$D$391=M35),0)),""))</f>
        <v/>
      </c>
      <c r="O35" s="69">
        <f>IF(OR(L35="",M35=""),"",SUMIFS($J$2:$J$391,$A$2:$A$391,L35,$D$2:$D$391,M35))</f>
        <v/>
      </c>
      <c r="P35" s="6" t="n"/>
      <c r="Q35" s="35">
        <f t="array" ref="Q35">IFERROR(INDEX($L$2:$L$391,MATCH(0,COUNTIF($Q$1:Q34,$L$2:$L$391)+IF($L$2:$L$391="",1,0),0)),"")</f>
        <v/>
      </c>
      <c r="R35" s="554">
        <f>IF(Q35="","",SUMIF($L$2:$L$391,Q35,$O$2:$O$391))</f>
        <v/>
      </c>
      <c r="S35" s="555">
        <f>IFERROR(Table3[[#This Row],[Price (€/kg)]]*HELPER!$AK$2," ")</f>
        <v/>
      </c>
    </row>
    <row r="36">
      <c r="A36" s="40" t="inlineStr">
        <is>
          <t>TIPA 302FG W</t>
        </is>
      </c>
      <c r="B36" s="41" t="inlineStr">
        <is>
          <t>Ext. A (Out - Chillroll)</t>
        </is>
      </c>
      <c r="C36" s="43" t="inlineStr">
        <is>
          <t>SLAB-PBSA</t>
        </is>
      </c>
      <c r="D36" s="43">
        <f>IF(C36="","",IFERROR(_xlfn.XLOOKUP(C36,HELPER!$A$2:$A$76,HELPER!$B$2:$B$76,""),D36))</f>
        <v/>
      </c>
      <c r="E36" s="43">
        <f>IFERROR(_xlfn.XLOOKUP(D36,HELPER!$B:$B,HELPER!$C:$C,""),"")</f>
        <v/>
      </c>
      <c r="F36" s="42">
        <f>IFERROR(_xlfn.XLOOKUP(D36,HELPER!$B:$B,HELPER!$D:$D,""),"")</f>
        <v/>
      </c>
      <c r="G36" s="42" t="n">
        <v>8</v>
      </c>
      <c r="H36" s="551" t="n">
        <v>0.016</v>
      </c>
      <c r="I36" s="36">
        <f>IF(AND(H36&lt;&gt;"",IFERROR(_xlfn.XLOOKUP(D36,HELPER!$B:$B,HELPER!$E:$E,""),"")=""),"Missing price",IFERROR(_xlfn.XLOOKUP(D36,HELPER!$B:$B,HELPER!$E:$E,"")," "))</f>
        <v/>
      </c>
      <c r="J36" s="71">
        <f>IFERROR(H36*(IF(G36=8,I36*HELPER!$G$2,BOM!I36*HELPER!$G$3))," ")</f>
        <v/>
      </c>
      <c r="K36" s="6" t="n"/>
      <c r="L36" s="16">
        <f t="array" ref="L36">IFERROR(_xlfn.LET(_xlpm.pairs,_xlfn._xlws.FILTER($A$2:$D$391,($A$2:$A$391&lt;&gt;"")*(TRIM($D$2:$D$391)&lt;&gt;"")),_xlpm.uniquePairs,_xlfn.UNIQUE(_xlfn.HSTACK(INDEX(_xlpm.pairs,,1),INDEX(_xlpm.pairs,,4))),_xlpm.sortedPairs,_xlfn._xlws.SORT(_xlpm.uniquePairs,1,1),IF(ROW()-1&lt;=ROWS(_xlpm.sortedPairs),INDEX(_xlpm.sortedPairs,ROW()-1,1),"")),"")</f>
        <v/>
      </c>
      <c r="M36" s="17">
        <f t="array" ref="M36">IFERROR(_xlfn.LET(_xlpm.pairs,_xlfn._xlws.FILTER($A$2:$D$391,($A$2:$A$391&lt;&gt;"")*(TRIM($D$2:$D$391)&lt;&gt;"")),_xlpm.uniquePairs,_xlfn.UNIQUE(_xlfn.HSTACK(INDEX(_xlpm.pairs,,1),INDEX(_xlpm.pairs,,4))),_xlpm.sortedPairs,_xlfn._xlws.SORT(_xlpm.uniquePairs,1,1),IF(ROW()-1&lt;=ROWS(_xlpm.sortedPairs),INDEX(_xlpm.sortedPairs,ROW()-1,2),"")),"")</f>
        <v/>
      </c>
      <c r="N36" s="17">
        <f t="array" ref="N36">IF(OR(L36="",M36=""),"",IFERROR(INDEX($E$2:$E$391,MATCH(1,($A$2:$A$391=L36)*($D$2:$D$391=M36),0)),""))</f>
        <v/>
      </c>
      <c r="O36" s="70">
        <f>IF(OR(L36="",M36=""),"",SUMIFS($J$2:$J$391,$A$2:$A$391,L36,$D$2:$D$391,M36))</f>
        <v/>
      </c>
      <c r="P36" s="6" t="n"/>
      <c r="Q36" s="34">
        <f t="array" ref="Q36">IFERROR(INDEX($L$2:$L$391,MATCH(0,COUNTIF($Q$1:Q35,$L$2:$L$391)+IF($L$2:$L$391="",1,0),0)),"")</f>
        <v/>
      </c>
      <c r="R36" s="552">
        <f>IF(Q36="","",SUMIF($L$2:$L$391,Q36,$O$2:$O$391))</f>
        <v/>
      </c>
      <c r="S36" s="553">
        <f>IFERROR(Table3[[#This Row],[Price (€/kg)]]*HELPER!$AK$2," ")</f>
        <v/>
      </c>
    </row>
    <row r="37">
      <c r="A37" s="40" t="inlineStr">
        <is>
          <t>TIPA 302FG W</t>
        </is>
      </c>
      <c r="B37" s="41" t="inlineStr">
        <is>
          <t>Ext. A (Out - Chillroll)</t>
        </is>
      </c>
      <c r="C37" s="43" t="n"/>
      <c r="D37" s="43">
        <f>IF(C37="","",IFERROR(_xlfn.XLOOKUP(C37,HELPER!$A$2:$A$76,HELPER!$B$2:$B$76,""),D37))</f>
        <v/>
      </c>
      <c r="E37" s="43">
        <f>IFERROR(_xlfn.XLOOKUP(D37,HELPER!$B:$B,HELPER!$C:$C,""),"")</f>
        <v/>
      </c>
      <c r="F37" s="42">
        <f>IFERROR(_xlfn.XLOOKUP(D37,HELPER!$B:$B,HELPER!$D:$D,""),"")</f>
        <v/>
      </c>
      <c r="G37" s="42" t="n">
        <v>8</v>
      </c>
      <c r="H37" s="551" t="n"/>
      <c r="I37" s="36">
        <f>IF(AND(H37&lt;&gt;"",IFERROR(_xlfn.XLOOKUP(D37,HELPER!$B:$B,HELPER!$E:$E,""),"")=""),"Missing price",IFERROR(_xlfn.XLOOKUP(D37,HELPER!$B:$B,HELPER!$E:$E,"")," "))</f>
        <v/>
      </c>
      <c r="J37" s="71">
        <f>IFERROR(H37*(IF(G37=8,I37*HELPER!$G$2,BOM!I37*HELPER!$G$3))," ")</f>
        <v/>
      </c>
      <c r="K37" s="6" t="n"/>
      <c r="L37" s="14">
        <f t="array" ref="L37">IFERROR(_xlfn.LET(_xlpm.pairs,_xlfn._xlws.FILTER($A$2:$D$391,($A$2:$A$391&lt;&gt;"")*(TRIM($D$2:$D$391)&lt;&gt;"")),_xlpm.uniquePairs,_xlfn.UNIQUE(_xlfn.HSTACK(INDEX(_xlpm.pairs,,1),INDEX(_xlpm.pairs,,4))),_xlpm.sortedPairs,_xlfn._xlws.SORT(_xlpm.uniquePairs,1,1),IF(ROW()-1&lt;=ROWS(_xlpm.sortedPairs),INDEX(_xlpm.sortedPairs,ROW()-1,1),"")),"")</f>
        <v/>
      </c>
      <c r="M37" s="15">
        <f t="array" ref="M37">IFERROR(_xlfn.LET(_xlpm.pairs,_xlfn._xlws.FILTER($A$2:$D$391,($A$2:$A$391&lt;&gt;"")*(TRIM($D$2:$D$391)&lt;&gt;"")),_xlpm.uniquePairs,_xlfn.UNIQUE(_xlfn.HSTACK(INDEX(_xlpm.pairs,,1),INDEX(_xlpm.pairs,,4))),_xlpm.sortedPairs,_xlfn._xlws.SORT(_xlpm.uniquePairs,1,1),IF(ROW()-1&lt;=ROWS(_xlpm.sortedPairs),INDEX(_xlpm.sortedPairs,ROW()-1,2),"")),"")</f>
        <v/>
      </c>
      <c r="N37" s="15">
        <f t="array" ref="N37">IF(OR(L37="",M37=""),"",IFERROR(INDEX($E$2:$E$391,MATCH(1,($A$2:$A$391=L37)*($D$2:$D$391=M37),0)),""))</f>
        <v/>
      </c>
      <c r="O37" s="69">
        <f>IF(OR(L37="",M37=""),"",SUMIFS($J$2:$J$391,$A$2:$A$391,L37,$D$2:$D$391,M37))</f>
        <v/>
      </c>
      <c r="P37" s="6" t="n"/>
      <c r="Q37" s="35">
        <f t="array" ref="Q37">IFERROR(INDEX($L$2:$L$391,MATCH(0,COUNTIF($Q$1:Q36,$L$2:$L$391)+IF($L$2:$L$391="",1,0),0)),"")</f>
        <v/>
      </c>
      <c r="R37" s="554">
        <f>IF(Q37="","",SUMIF($L$2:$L$391,Q37,$O$2:$O$391))</f>
        <v/>
      </c>
      <c r="S37" s="555">
        <f>IFERROR(Table3[[#This Row],[Price (€/kg)]]*HELPER!$AK$2," ")</f>
        <v/>
      </c>
    </row>
    <row r="38">
      <c r="A38" s="40" t="inlineStr">
        <is>
          <t>TIPA 302FG W</t>
        </is>
      </c>
      <c r="B38" s="41" t="inlineStr">
        <is>
          <t>Ext. A (Out - Chillroll)</t>
        </is>
      </c>
      <c r="C38" s="43" t="n"/>
      <c r="D38" s="43">
        <f>IF(C38="","",IFERROR(_xlfn.XLOOKUP(C38,HELPER!$A$2:$A$76,HELPER!$B$2:$B$76,""),D38))</f>
        <v/>
      </c>
      <c r="E38" s="43">
        <f>IFERROR(_xlfn.XLOOKUP(D38,HELPER!$B:$B,HELPER!$C:$C,""),"")</f>
        <v/>
      </c>
      <c r="F38" s="42">
        <f>IFERROR(_xlfn.XLOOKUP(D38,HELPER!$B:$B,HELPER!$D:$D,""),"")</f>
        <v/>
      </c>
      <c r="G38" s="42" t="n">
        <v>8</v>
      </c>
      <c r="H38" s="551" t="n"/>
      <c r="I38" s="36">
        <f>IF(AND(H38&lt;&gt;"",IFERROR(_xlfn.XLOOKUP(D38,HELPER!$B:$B,HELPER!$E:$E,""),"")=""),"Missing price",IFERROR(_xlfn.XLOOKUP(D38,HELPER!$B:$B,HELPER!$E:$E,"")," "))</f>
        <v/>
      </c>
      <c r="J38" s="71">
        <f>IFERROR(H38*(IF(G38=8,I38*HELPER!$G$2,BOM!I38*HELPER!$G$3))," ")</f>
        <v/>
      </c>
      <c r="K38" s="6" t="n"/>
      <c r="L38" s="16">
        <f t="array" ref="L38">IFERROR(_xlfn.LET(_xlpm.pairs,_xlfn._xlws.FILTER($A$2:$D$391,($A$2:$A$391&lt;&gt;"")*(TRIM($D$2:$D$391)&lt;&gt;"")),_xlpm.uniquePairs,_xlfn.UNIQUE(_xlfn.HSTACK(INDEX(_xlpm.pairs,,1),INDEX(_xlpm.pairs,,4))),_xlpm.sortedPairs,_xlfn._xlws.SORT(_xlpm.uniquePairs,1,1),IF(ROW()-1&lt;=ROWS(_xlpm.sortedPairs),INDEX(_xlpm.sortedPairs,ROW()-1,1),"")),"")</f>
        <v/>
      </c>
      <c r="M38" s="17">
        <f t="array" ref="M38">IFERROR(_xlfn.LET(_xlpm.pairs,_xlfn._xlws.FILTER($A$2:$D$391,($A$2:$A$391&lt;&gt;"")*(TRIM($D$2:$D$391)&lt;&gt;"")),_xlpm.uniquePairs,_xlfn.UNIQUE(_xlfn.HSTACK(INDEX(_xlpm.pairs,,1),INDEX(_xlpm.pairs,,4))),_xlpm.sortedPairs,_xlfn._xlws.SORT(_xlpm.uniquePairs,1,1),IF(ROW()-1&lt;=ROWS(_xlpm.sortedPairs),INDEX(_xlpm.sortedPairs,ROW()-1,2),"")),"")</f>
        <v/>
      </c>
      <c r="N38" s="17">
        <f t="array" ref="N38">IF(OR(L38="",M38=""),"",IFERROR(INDEX($E$2:$E$391,MATCH(1,($A$2:$A$391=L38)*($D$2:$D$391=M38),0)),""))</f>
        <v/>
      </c>
      <c r="O38" s="70">
        <f>IF(OR(L38="",M38=""),"",SUMIFS($J$2:$J$391,$A$2:$A$391,L38,$D$2:$D$391,M38))</f>
        <v/>
      </c>
      <c r="P38" s="6" t="n"/>
      <c r="Q38" s="34">
        <f t="array" ref="Q38">IFERROR(INDEX($L$2:$L$391,MATCH(0,COUNTIF($Q$1:Q37,$L$2:$L$391)+IF($L$2:$L$391="",1,0),0)),"")</f>
        <v/>
      </c>
      <c r="R38" s="552">
        <f>IF(Q38="","",SUMIF($L$2:$L$391,Q38,$O$2:$O$391))</f>
        <v/>
      </c>
      <c r="S38" s="553">
        <f>IFERROR(Table3[[#This Row],[Price (€/kg)]]*HELPER!$AK$2," ")</f>
        <v/>
      </c>
    </row>
    <row r="39">
      <c r="A39" s="40" t="inlineStr">
        <is>
          <t>TIPA 302FG W</t>
        </is>
      </c>
      <c r="B39" s="41" t="inlineStr">
        <is>
          <t>Ext. A (Out - Chillroll)</t>
        </is>
      </c>
      <c r="C39" s="43" t="n"/>
      <c r="D39" s="43">
        <f>IF(C39="","",IFERROR(_xlfn.XLOOKUP(C39,HELPER!$A$2:$A$76,HELPER!$B$2:$B$76,""),D39))</f>
        <v/>
      </c>
      <c r="E39" s="43">
        <f>IFERROR(_xlfn.XLOOKUP(D39,HELPER!$B:$B,HELPER!$C:$C,""),"")</f>
        <v/>
      </c>
      <c r="F39" s="42">
        <f>IFERROR(_xlfn.XLOOKUP(D39,HELPER!$B:$B,HELPER!$D:$D,""),"")</f>
        <v/>
      </c>
      <c r="G39" s="42" t="n">
        <v>8</v>
      </c>
      <c r="H39" s="551" t="n"/>
      <c r="I39" s="36">
        <f>IF(AND(H39&lt;&gt;"",IFERROR(_xlfn.XLOOKUP(D39,HELPER!$B:$B,HELPER!$E:$E,""),"")=""),"Missing price",IFERROR(_xlfn.XLOOKUP(D39,HELPER!$B:$B,HELPER!$E:$E,"")," "))</f>
        <v/>
      </c>
      <c r="J39" s="71">
        <f>IFERROR(H39*(IF(G39=8,I39*HELPER!$G$2,BOM!I39*HELPER!$G$3))," ")</f>
        <v/>
      </c>
      <c r="K39" s="6" t="n"/>
      <c r="L39" s="14">
        <f t="array" ref="L39">IFERROR(_xlfn.LET(_xlpm.pairs,_xlfn._xlws.FILTER($A$2:$D$391,($A$2:$A$391&lt;&gt;"")*(TRIM($D$2:$D$391)&lt;&gt;"")),_xlpm.uniquePairs,_xlfn.UNIQUE(_xlfn.HSTACK(INDEX(_xlpm.pairs,,1),INDEX(_xlpm.pairs,,4))),_xlpm.sortedPairs,_xlfn._xlws.SORT(_xlpm.uniquePairs,1,1),IF(ROW()-1&lt;=ROWS(_xlpm.sortedPairs),INDEX(_xlpm.sortedPairs,ROW()-1,1),"")),"")</f>
        <v/>
      </c>
      <c r="M39" s="15">
        <f t="array" ref="M39">IFERROR(_xlfn.LET(_xlpm.pairs,_xlfn._xlws.FILTER($A$2:$D$391,($A$2:$A$391&lt;&gt;"")*(TRIM($D$2:$D$391)&lt;&gt;"")),_xlpm.uniquePairs,_xlfn.UNIQUE(_xlfn.HSTACK(INDEX(_xlpm.pairs,,1),INDEX(_xlpm.pairs,,4))),_xlpm.sortedPairs,_xlfn._xlws.SORT(_xlpm.uniquePairs,1,1),IF(ROW()-1&lt;=ROWS(_xlpm.sortedPairs),INDEX(_xlpm.sortedPairs,ROW()-1,2),"")),"")</f>
        <v/>
      </c>
      <c r="N39" s="15">
        <f t="array" ref="N39">IF(OR(L39="",M39=""),"",IFERROR(INDEX($E$2:$E$391,MATCH(1,($A$2:$A$391=L39)*($D$2:$D$391=M39),0)),""))</f>
        <v/>
      </c>
      <c r="O39" s="69">
        <f>IF(OR(L39="",M39=""),"",SUMIFS($J$2:$J$391,$A$2:$A$391,L39,$D$2:$D$391,M39))</f>
        <v/>
      </c>
      <c r="P39" s="6" t="n"/>
      <c r="Q39" s="35">
        <f t="array" ref="Q39">IFERROR(INDEX($L$2:$L$391,MATCH(0,COUNTIF($Q$1:Q38,$L$2:$L$391)+IF($L$2:$L$391="",1,0),0)),"")</f>
        <v/>
      </c>
      <c r="R39" s="554">
        <f>IF(Q39="","",SUMIF($L$2:$L$391,Q39,$O$2:$O$391))</f>
        <v/>
      </c>
      <c r="S39" s="555">
        <f>IFERROR(Table3[[#This Row],[Price (€/kg)]]*HELPER!$AK$2," ")</f>
        <v/>
      </c>
    </row>
    <row r="40">
      <c r="A40" s="40" t="inlineStr">
        <is>
          <t>TIPA 302FG W</t>
        </is>
      </c>
      <c r="B40" s="41" t="inlineStr">
        <is>
          <t>Ext. A (Out - Chillroll)</t>
        </is>
      </c>
      <c r="C40" s="43" t="n"/>
      <c r="D40" s="43">
        <f>IF(C40="","",IFERROR(_xlfn.XLOOKUP(C40,HELPER!$A$2:$A$76,HELPER!$B$2:$B$76,""),D40))</f>
        <v/>
      </c>
      <c r="E40" s="43">
        <f>IFERROR(_xlfn.XLOOKUP(D40,HELPER!$B:$B,HELPER!$C:$C,""),"")</f>
        <v/>
      </c>
      <c r="F40" s="42">
        <f>IFERROR(_xlfn.XLOOKUP(D40,HELPER!$B:$B,HELPER!$D:$D,""),"")</f>
        <v/>
      </c>
      <c r="G40" s="42" t="n">
        <v>8</v>
      </c>
      <c r="H40" s="551" t="n"/>
      <c r="I40" s="36">
        <f>IF(AND(H40&lt;&gt;"",IFERROR(_xlfn.XLOOKUP(D40,HELPER!$B:$B,HELPER!$E:$E,""),"")=""),"Missing price",IFERROR(_xlfn.XLOOKUP(D40,HELPER!$B:$B,HELPER!$E:$E,"")," "))</f>
        <v/>
      </c>
      <c r="J40" s="71">
        <f>IFERROR(H40*(IF(G40=8,I40*HELPER!$G$2,BOM!I40*HELPER!$G$3))," ")</f>
        <v/>
      </c>
      <c r="K40" s="6" t="n"/>
      <c r="L40" s="16">
        <f t="array" ref="L40">IFERROR(_xlfn.LET(_xlpm.pairs,_xlfn._xlws.FILTER($A$2:$D$391,($A$2:$A$391&lt;&gt;"")*(TRIM($D$2:$D$391)&lt;&gt;"")),_xlpm.uniquePairs,_xlfn.UNIQUE(_xlfn.HSTACK(INDEX(_xlpm.pairs,,1),INDEX(_xlpm.pairs,,4))),_xlpm.sortedPairs,_xlfn._xlws.SORT(_xlpm.uniquePairs,1,1),IF(ROW()-1&lt;=ROWS(_xlpm.sortedPairs),INDEX(_xlpm.sortedPairs,ROW()-1,1),"")),"")</f>
        <v/>
      </c>
      <c r="M40" s="17">
        <f t="array" ref="M40">IFERROR(_xlfn.LET(_xlpm.pairs,_xlfn._xlws.FILTER($A$2:$D$391,($A$2:$A$391&lt;&gt;"")*(TRIM($D$2:$D$391)&lt;&gt;"")),_xlpm.uniquePairs,_xlfn.UNIQUE(_xlfn.HSTACK(INDEX(_xlpm.pairs,,1),INDEX(_xlpm.pairs,,4))),_xlpm.sortedPairs,_xlfn._xlws.SORT(_xlpm.uniquePairs,1,1),IF(ROW()-1&lt;=ROWS(_xlpm.sortedPairs),INDEX(_xlpm.sortedPairs,ROW()-1,2),"")),"")</f>
        <v/>
      </c>
      <c r="N40" s="17">
        <f t="array" ref="N40">IF(OR(L40="",M40=""),"",IFERROR(INDEX($E$2:$E$391,MATCH(1,($A$2:$A$391=L40)*($D$2:$D$391=M40),0)),""))</f>
        <v/>
      </c>
      <c r="O40" s="70">
        <f>IF(OR(L40="",M40=""),"",SUMIFS($J$2:$J$391,$A$2:$A$391,L40,$D$2:$D$391,M40))</f>
        <v/>
      </c>
      <c r="P40" s="6" t="n"/>
      <c r="Q40" s="34">
        <f t="array" ref="Q40">IFERROR(INDEX($L$2:$L$391,MATCH(0,COUNTIF($Q$1:Q39,$L$2:$L$391)+IF($L$2:$L$391="",1,0),0)),"")</f>
        <v/>
      </c>
      <c r="R40" s="552">
        <f>IF(Q40="","",SUMIF($L$2:$L$391,Q40,$O$2:$O$391))</f>
        <v/>
      </c>
      <c r="S40" s="553">
        <f>IFERROR(Table3[[#This Row],[Price (€/kg)]]*HELPER!$AK$2," ")</f>
        <v/>
      </c>
    </row>
    <row r="41">
      <c r="A41" s="40" t="inlineStr">
        <is>
          <t>TIPA 302FG W</t>
        </is>
      </c>
      <c r="B41" s="41" t="inlineStr">
        <is>
          <t>Ext. A (Out - Chillroll)</t>
        </is>
      </c>
      <c r="C41" s="43" t="n"/>
      <c r="D41" s="43">
        <f>IF(C41="","",IFERROR(_xlfn.XLOOKUP(C41,HELPER!$A$2:$A$76,HELPER!$B$2:$B$76,""),D41))</f>
        <v/>
      </c>
      <c r="E41" s="43">
        <f>IFERROR(_xlfn.XLOOKUP(D41,HELPER!$B:$B,HELPER!$C:$C,""),"")</f>
        <v/>
      </c>
      <c r="F41" s="42">
        <f>IFERROR(_xlfn.XLOOKUP(D41,HELPER!$B:$B,HELPER!$D:$D,""),"")</f>
        <v/>
      </c>
      <c r="G41" s="42" t="n">
        <v>8</v>
      </c>
      <c r="H41" s="551" t="n"/>
      <c r="I41" s="36">
        <f>IF(AND(H41&lt;&gt;"",IFERROR(_xlfn.XLOOKUP(D41,HELPER!$B:$B,HELPER!$E:$E,""),"")=""),"Missing price",IFERROR(_xlfn.XLOOKUP(D41,HELPER!$B:$B,HELPER!$E:$E,"")," "))</f>
        <v/>
      </c>
      <c r="J41" s="71">
        <f>IFERROR(H41*(IF(G41=8,I41*HELPER!$G$2,BOM!I41*HELPER!$G$3))," ")</f>
        <v/>
      </c>
      <c r="K41" s="6" t="n"/>
      <c r="L41" s="14">
        <f t="array" ref="L41">IFERROR(_xlfn.LET(_xlpm.pairs,_xlfn._xlws.FILTER($A$2:$D$391,($A$2:$A$391&lt;&gt;"")*(TRIM($D$2:$D$391)&lt;&gt;"")),_xlpm.uniquePairs,_xlfn.UNIQUE(_xlfn.HSTACK(INDEX(_xlpm.pairs,,1),INDEX(_xlpm.pairs,,4))),_xlpm.sortedPairs,_xlfn._xlws.SORT(_xlpm.uniquePairs,1,1),IF(ROW()-1&lt;=ROWS(_xlpm.sortedPairs),INDEX(_xlpm.sortedPairs,ROW()-1,1),"")),"")</f>
        <v/>
      </c>
      <c r="M41" s="15">
        <f t="array" ref="M41">IFERROR(_xlfn.LET(_xlpm.pairs,_xlfn._xlws.FILTER($A$2:$D$391,($A$2:$A$391&lt;&gt;"")*(TRIM($D$2:$D$391)&lt;&gt;"")),_xlpm.uniquePairs,_xlfn.UNIQUE(_xlfn.HSTACK(INDEX(_xlpm.pairs,,1),INDEX(_xlpm.pairs,,4))),_xlpm.sortedPairs,_xlfn._xlws.SORT(_xlpm.uniquePairs,1,1),IF(ROW()-1&lt;=ROWS(_xlpm.sortedPairs),INDEX(_xlpm.sortedPairs,ROW()-1,2),"")),"")</f>
        <v/>
      </c>
      <c r="N41" s="15">
        <f t="array" ref="N41">IF(OR(L41="",M41=""),"",IFERROR(INDEX($E$2:$E$391,MATCH(1,($A$2:$A$391=L41)*($D$2:$D$391=M41),0)),""))</f>
        <v/>
      </c>
      <c r="O41" s="69">
        <f>IF(OR(L41="",M41=""),"",SUMIFS($J$2:$J$391,$A$2:$A$391,L41,$D$2:$D$391,M41))</f>
        <v/>
      </c>
      <c r="P41" s="6" t="n"/>
      <c r="Q41" s="35">
        <f t="array" ref="Q41">IFERROR(INDEX($L$2:$L$391,MATCH(0,COUNTIF($Q$1:Q40,$L$2:$L$391)+IF($L$2:$L$391="",1,0),0)),"")</f>
        <v/>
      </c>
      <c r="R41" s="554">
        <f>IF(Q41="","",SUMIF($L$2:$L$391,Q41,$O$2:$O$391))</f>
        <v/>
      </c>
      <c r="S41" s="555">
        <f>IFERROR(Table3[[#This Row],[Price (€/kg)]]*HELPER!$AK$2," ")</f>
        <v/>
      </c>
    </row>
    <row r="42">
      <c r="A42" s="40" t="inlineStr">
        <is>
          <t>TIPA 302FG W</t>
        </is>
      </c>
      <c r="B42" s="41" t="inlineStr">
        <is>
          <t xml:space="preserve">Ext. B </t>
        </is>
      </c>
      <c r="C42" s="43" t="n"/>
      <c r="D42" s="43">
        <f>IF(C42="","",IFERROR(_xlfn.XLOOKUP(C42,HELPER!$A$2:$A$76,HELPER!$B$2:$B$76,""),D42))</f>
        <v/>
      </c>
      <c r="E42" s="43">
        <f>IFERROR(_xlfn.XLOOKUP(D42,HELPER!$B:$B,HELPER!$C:$C,""),"")</f>
        <v/>
      </c>
      <c r="F42" s="42">
        <f>IFERROR(_xlfn.XLOOKUP(D42,HELPER!$B:$B,HELPER!$D:$D,""),"")</f>
        <v/>
      </c>
      <c r="G42" s="42" t="n">
        <v>24</v>
      </c>
      <c r="H42" s="551" t="n"/>
      <c r="I42" s="36">
        <f>IF(AND(H42&lt;&gt;"",IFERROR(_xlfn.XLOOKUP(D42,HELPER!$B:$B,HELPER!$E:$E,""),"")=""),"Missing price",IFERROR(_xlfn.XLOOKUP(D42,HELPER!$B:$B,HELPER!$E:$E,"")," "))</f>
        <v/>
      </c>
      <c r="J42" s="71">
        <f>IFERROR(H42*(IF(G42=8,I42*HELPER!$G$2,BOM!I42*HELPER!$G$3))," ")</f>
        <v/>
      </c>
      <c r="K42" s="6" t="n"/>
      <c r="L42" s="16">
        <f t="array" ref="L42">IFERROR(_xlfn.LET(_xlpm.pairs,_xlfn._xlws.FILTER($A$2:$D$391,($A$2:$A$391&lt;&gt;"")*(TRIM($D$2:$D$391)&lt;&gt;"")),_xlpm.uniquePairs,_xlfn.UNIQUE(_xlfn.HSTACK(INDEX(_xlpm.pairs,,1),INDEX(_xlpm.pairs,,4))),_xlpm.sortedPairs,_xlfn._xlws.SORT(_xlpm.uniquePairs,1,1),IF(ROW()-1&lt;=ROWS(_xlpm.sortedPairs),INDEX(_xlpm.sortedPairs,ROW()-1,1),"")),"")</f>
        <v/>
      </c>
      <c r="M42" s="17">
        <f t="array" ref="M42">IFERROR(_xlfn.LET(_xlpm.pairs,_xlfn._xlws.FILTER($A$2:$D$391,($A$2:$A$391&lt;&gt;"")*(TRIM($D$2:$D$391)&lt;&gt;"")),_xlpm.uniquePairs,_xlfn.UNIQUE(_xlfn.HSTACK(INDEX(_xlpm.pairs,,1),INDEX(_xlpm.pairs,,4))),_xlpm.sortedPairs,_xlfn._xlws.SORT(_xlpm.uniquePairs,1,1),IF(ROW()-1&lt;=ROWS(_xlpm.sortedPairs),INDEX(_xlpm.sortedPairs,ROW()-1,2),"")),"")</f>
        <v/>
      </c>
      <c r="N42" s="17">
        <f t="array" ref="N42">IF(OR(L42="",M42=""),"",IFERROR(INDEX($E$2:$E$391,MATCH(1,($A$2:$A$391=L42)*($D$2:$D$391=M42),0)),""))</f>
        <v/>
      </c>
      <c r="O42" s="70">
        <f>IF(OR(L42="",M42=""),"",SUMIFS($J$2:$J$391,$A$2:$A$391,L42,$D$2:$D$391,M42))</f>
        <v/>
      </c>
      <c r="P42" s="6" t="n"/>
      <c r="Q42" s="34">
        <f t="array" ref="Q42">IFERROR(INDEX($L$2:$L$391,MATCH(0,COUNTIF($Q$1:Q41,$L$2:$L$391)+IF($L$2:$L$391="",1,0),0)),"")</f>
        <v/>
      </c>
      <c r="R42" s="552">
        <f>IF(Q42="","",SUMIF($L$2:$L$391,Q42,$O$2:$O$391))</f>
        <v/>
      </c>
      <c r="S42" s="553">
        <f>IFERROR(Table3[[#This Row],[Price (€/kg)]]*HELPER!$AK$2," ")</f>
        <v/>
      </c>
    </row>
    <row r="43">
      <c r="A43" s="40" t="inlineStr">
        <is>
          <t>TIPA 302FG W</t>
        </is>
      </c>
      <c r="B43" s="41" t="inlineStr">
        <is>
          <t xml:space="preserve">Ext. B </t>
        </is>
      </c>
      <c r="C43" s="43" t="n"/>
      <c r="D43" s="43">
        <f>IF(C43="","",IFERROR(_xlfn.XLOOKUP(C43,HELPER!$A$2:$A$76,HELPER!$B$2:$B$76,""),D43))</f>
        <v/>
      </c>
      <c r="E43" s="43">
        <f>IFERROR(_xlfn.XLOOKUP(D43,HELPER!$B:$B,HELPER!$C:$C,""),"")</f>
        <v/>
      </c>
      <c r="F43" s="42">
        <f>IFERROR(_xlfn.XLOOKUP(D43,HELPER!$B:$B,HELPER!$D:$D,""),"")</f>
        <v/>
      </c>
      <c r="G43" s="42" t="n">
        <v>24</v>
      </c>
      <c r="H43" s="551" t="n"/>
      <c r="I43" s="36">
        <f>IF(AND(H43&lt;&gt;"",IFERROR(_xlfn.XLOOKUP(D43,HELPER!$B:$B,HELPER!$E:$E,""),"")=""),"Missing price",IFERROR(_xlfn.XLOOKUP(D43,HELPER!$B:$B,HELPER!$E:$E,"")," "))</f>
        <v/>
      </c>
      <c r="J43" s="71">
        <f>IFERROR(H43*(IF(G43=8,I43*HELPER!$G$2,BOM!I43*HELPER!$G$3))," ")</f>
        <v/>
      </c>
      <c r="K43" s="6" t="n"/>
      <c r="L43" s="14">
        <f t="array" ref="L43">IFERROR(_xlfn.LET(_xlpm.pairs,_xlfn._xlws.FILTER($A$2:$D$391,($A$2:$A$391&lt;&gt;"")*(TRIM($D$2:$D$391)&lt;&gt;"")),_xlpm.uniquePairs,_xlfn.UNIQUE(_xlfn.HSTACK(INDEX(_xlpm.pairs,,1),INDEX(_xlpm.pairs,,4))),_xlpm.sortedPairs,_xlfn._xlws.SORT(_xlpm.uniquePairs,1,1),IF(ROW()-1&lt;=ROWS(_xlpm.sortedPairs),INDEX(_xlpm.sortedPairs,ROW()-1,1),"")),"")</f>
        <v/>
      </c>
      <c r="M43" s="15">
        <f t="array" ref="M43">IFERROR(_xlfn.LET(_xlpm.pairs,_xlfn._xlws.FILTER($A$2:$D$391,($A$2:$A$391&lt;&gt;"")*(TRIM($D$2:$D$391)&lt;&gt;"")),_xlpm.uniquePairs,_xlfn.UNIQUE(_xlfn.HSTACK(INDEX(_xlpm.pairs,,1),INDEX(_xlpm.pairs,,4))),_xlpm.sortedPairs,_xlfn._xlws.SORT(_xlpm.uniquePairs,1,1),IF(ROW()-1&lt;=ROWS(_xlpm.sortedPairs),INDEX(_xlpm.sortedPairs,ROW()-1,2),"")),"")</f>
        <v/>
      </c>
      <c r="N43" s="15">
        <f t="array" ref="N43">IF(OR(L43="",M43=""),"",IFERROR(INDEX($E$2:$E$391,MATCH(1,($A$2:$A$391=L43)*($D$2:$D$391=M43),0)),""))</f>
        <v/>
      </c>
      <c r="O43" s="69">
        <f>IF(OR(L43="",M43=""),"",SUMIFS($J$2:$J$391,$A$2:$A$391,L43,$D$2:$D$391,M43))</f>
        <v/>
      </c>
      <c r="P43" s="6" t="n"/>
      <c r="Q43" s="35">
        <f t="array" ref="Q43">IFERROR(INDEX($L$2:$L$391,MATCH(0,COUNTIF($Q$1:Q42,$L$2:$L$391)+IF($L$2:$L$391="",1,0),0)),"")</f>
        <v/>
      </c>
      <c r="R43" s="554">
        <f>IF(Q43="","",SUMIF($L$2:$L$391,Q43,$O$2:$O$391))</f>
        <v/>
      </c>
      <c r="S43" s="555">
        <f>IFERROR(Table3[[#This Row],[Price (€/kg)]]*HELPER!$AK$2," ")</f>
        <v/>
      </c>
    </row>
    <row r="44">
      <c r="A44" s="40" t="inlineStr">
        <is>
          <t>TIPA 302FG W</t>
        </is>
      </c>
      <c r="B44" s="41" t="inlineStr">
        <is>
          <t xml:space="preserve">Ext. B </t>
        </is>
      </c>
      <c r="C44" s="43" t="n"/>
      <c r="D44" s="43">
        <f>IF(C44="","",IFERROR(_xlfn.XLOOKUP(C44,HELPER!$A$2:$A$76,HELPER!$B$2:$B$76,""),D44))</f>
        <v/>
      </c>
      <c r="E44" s="43">
        <f>IFERROR(_xlfn.XLOOKUP(D44,HELPER!$B:$B,HELPER!$C:$C,""),"")</f>
        <v/>
      </c>
      <c r="F44" s="42">
        <f>IFERROR(_xlfn.XLOOKUP(D44,HELPER!$B:$B,HELPER!$D:$D,""),"")</f>
        <v/>
      </c>
      <c r="G44" s="42" t="n">
        <v>24</v>
      </c>
      <c r="H44" s="551" t="n"/>
      <c r="I44" s="36">
        <f>IF(AND(H44&lt;&gt;"",IFERROR(_xlfn.XLOOKUP(D44,HELPER!$B:$B,HELPER!$E:$E,""),"")=""),"Missing price",IFERROR(_xlfn.XLOOKUP(D44,HELPER!$B:$B,HELPER!$E:$E,"")," "))</f>
        <v/>
      </c>
      <c r="J44" s="71">
        <f>IFERROR(H44*(IF(G44=8,I44*HELPER!$G$2,BOM!I44*HELPER!$G$3))," ")</f>
        <v/>
      </c>
      <c r="K44" s="6" t="n"/>
      <c r="L44" s="16">
        <f t="array" ref="L44">IFERROR(_xlfn.LET(_xlpm.pairs,_xlfn._xlws.FILTER($A$2:$D$391,($A$2:$A$391&lt;&gt;"")*(TRIM($D$2:$D$391)&lt;&gt;"")),_xlpm.uniquePairs,_xlfn.UNIQUE(_xlfn.HSTACK(INDEX(_xlpm.pairs,,1),INDEX(_xlpm.pairs,,4))),_xlpm.sortedPairs,_xlfn._xlws.SORT(_xlpm.uniquePairs,1,1),IF(ROW()-1&lt;=ROWS(_xlpm.sortedPairs),INDEX(_xlpm.sortedPairs,ROW()-1,1),"")),"")</f>
        <v/>
      </c>
      <c r="M44" s="17">
        <f t="array" ref="M44">IFERROR(_xlfn.LET(_xlpm.pairs,_xlfn._xlws.FILTER($A$2:$D$391,($A$2:$A$391&lt;&gt;"")*(TRIM($D$2:$D$391)&lt;&gt;"")),_xlpm.uniquePairs,_xlfn.UNIQUE(_xlfn.HSTACK(INDEX(_xlpm.pairs,,1),INDEX(_xlpm.pairs,,4))),_xlpm.sortedPairs,_xlfn._xlws.SORT(_xlpm.uniquePairs,1,1),IF(ROW()-1&lt;=ROWS(_xlpm.sortedPairs),INDEX(_xlpm.sortedPairs,ROW()-1,2),"")),"")</f>
        <v/>
      </c>
      <c r="N44" s="17">
        <f t="array" ref="N44">IF(OR(L44="",M44=""),"",IFERROR(INDEX($E$2:$E$391,MATCH(1,($A$2:$A$391=L44)*($D$2:$D$391=M44),0)),""))</f>
        <v/>
      </c>
      <c r="O44" s="70">
        <f>IF(OR(L44="",M44=""),"",SUMIFS($J$2:$J$391,$A$2:$A$391,L44,$D$2:$D$391,M44))</f>
        <v/>
      </c>
      <c r="P44" s="6" t="n"/>
      <c r="Q44" s="34">
        <f t="array" ref="Q44">IFERROR(INDEX($L$2:$L$391,MATCH(0,COUNTIF($Q$1:Q43,$L$2:$L$391)+IF($L$2:$L$391="",1,0),0)),"")</f>
        <v/>
      </c>
      <c r="R44" s="552">
        <f>IF(Q44="","",SUMIF($L$2:$L$391,Q44,$O$2:$O$391))</f>
        <v/>
      </c>
      <c r="S44" s="553">
        <f>IFERROR(Table3[[#This Row],[Price (€/kg)]]*HELPER!$AK$2," ")</f>
        <v/>
      </c>
    </row>
    <row r="45">
      <c r="A45" s="40" t="inlineStr">
        <is>
          <t>TIPA 302FG W</t>
        </is>
      </c>
      <c r="B45" s="41" t="inlineStr">
        <is>
          <t xml:space="preserve">Ext. B </t>
        </is>
      </c>
      <c r="C45" s="43" t="inlineStr">
        <is>
          <t>AO-PBS</t>
        </is>
      </c>
      <c r="D45" s="43">
        <f>IF(C45="","",IFERROR(_xlfn.XLOOKUP(C45,HELPER!$A$2:$A$76,HELPER!$B$2:$B$76,""),D45))</f>
        <v/>
      </c>
      <c r="E45" s="43">
        <f>IFERROR(_xlfn.XLOOKUP(D45,HELPER!$B:$B,HELPER!$C:$C,""),"")</f>
        <v/>
      </c>
      <c r="F45" s="42">
        <f>IFERROR(_xlfn.XLOOKUP(D45,HELPER!$B:$B,HELPER!$D:$D,""),"")</f>
        <v/>
      </c>
      <c r="G45" s="42" t="n">
        <v>24</v>
      </c>
      <c r="H45" s="551" t="n">
        <v>0.015</v>
      </c>
      <c r="I45" s="36">
        <f>IF(AND(H45&lt;&gt;"",IFERROR(_xlfn.XLOOKUP(D45,HELPER!$B:$B,HELPER!$E:$E,""),"")=""),"Missing price",IFERROR(_xlfn.XLOOKUP(D45,HELPER!$B:$B,HELPER!$E:$E,"")," "))</f>
        <v/>
      </c>
      <c r="J45" s="71">
        <f>IFERROR(H45*(IF(G45=8,I45*HELPER!$G$2,BOM!I45*HELPER!$G$3))," ")</f>
        <v/>
      </c>
      <c r="K45" s="6" t="n"/>
      <c r="L45" s="14">
        <f t="array" ref="L45">IFERROR(_xlfn.LET(_xlpm.pairs,_xlfn._xlws.FILTER($A$2:$D$391,($A$2:$A$391&lt;&gt;"")*(TRIM($D$2:$D$391)&lt;&gt;"")),_xlpm.uniquePairs,_xlfn.UNIQUE(_xlfn.HSTACK(INDEX(_xlpm.pairs,,1),INDEX(_xlpm.pairs,,4))),_xlpm.sortedPairs,_xlfn._xlws.SORT(_xlpm.uniquePairs,1,1),IF(ROW()-1&lt;=ROWS(_xlpm.sortedPairs),INDEX(_xlpm.sortedPairs,ROW()-1,1),"")),"")</f>
        <v/>
      </c>
      <c r="M45" s="15">
        <f t="array" ref="M45">IFERROR(_xlfn.LET(_xlpm.pairs,_xlfn._xlws.FILTER($A$2:$D$391,($A$2:$A$391&lt;&gt;"")*(TRIM($D$2:$D$391)&lt;&gt;"")),_xlpm.uniquePairs,_xlfn.UNIQUE(_xlfn.HSTACK(INDEX(_xlpm.pairs,,1),INDEX(_xlpm.pairs,,4))),_xlpm.sortedPairs,_xlfn._xlws.SORT(_xlpm.uniquePairs,1,1),IF(ROW()-1&lt;=ROWS(_xlpm.sortedPairs),INDEX(_xlpm.sortedPairs,ROW()-1,2),"")),"")</f>
        <v/>
      </c>
      <c r="N45" s="15">
        <f t="array" ref="N45">IF(OR(L45="",M45=""),"",IFERROR(INDEX($E$2:$E$391,MATCH(1,($A$2:$A$391=L45)*($D$2:$D$391=M45),0)),""))</f>
        <v/>
      </c>
      <c r="O45" s="69">
        <f>IF(OR(L45="",M45=""),"",SUMIFS($J$2:$J$391,$A$2:$A$391,L45,$D$2:$D$391,M45))</f>
        <v/>
      </c>
      <c r="P45" s="6" t="n"/>
      <c r="Q45" s="35">
        <f t="array" ref="Q45">IFERROR(INDEX($L$2:$L$391,MATCH(0,COUNTIF($Q$1:Q44,$L$2:$L$391)+IF($L$2:$L$391="",1,0),0)),"")</f>
        <v/>
      </c>
      <c r="R45" s="554">
        <f>IF(Q45="","",SUMIF($L$2:$L$391,Q45,$O$2:$O$391))</f>
        <v/>
      </c>
      <c r="S45" s="555">
        <f>IFERROR(Table3[[#This Row],[Price (€/kg)]]*HELPER!$AK$2," ")</f>
        <v/>
      </c>
    </row>
    <row r="46">
      <c r="A46" s="40" t="inlineStr">
        <is>
          <t>TIPA 302FG W</t>
        </is>
      </c>
      <c r="B46" s="41" t="inlineStr">
        <is>
          <t xml:space="preserve">Ext. B </t>
        </is>
      </c>
      <c r="C46" s="43" t="inlineStr">
        <is>
          <t>ECOMP WHITE</t>
        </is>
      </c>
      <c r="D46" s="43">
        <f>IF(C46="","",IFERROR(_xlfn.XLOOKUP(C46,HELPER!$A$2:$A$76,HELPER!$B$2:$B$76,""),D46))</f>
        <v/>
      </c>
      <c r="E46" s="43">
        <f>IFERROR(_xlfn.XLOOKUP(D46,HELPER!$B:$B,HELPER!$C:$C,""),"")</f>
        <v/>
      </c>
      <c r="F46" s="42">
        <f>IFERROR(_xlfn.XLOOKUP(D46,HELPER!$B:$B,HELPER!$D:$D,""),"")</f>
        <v/>
      </c>
      <c r="G46" s="42" t="n">
        <v>24</v>
      </c>
      <c r="H46" s="551" t="n">
        <v>0.1</v>
      </c>
      <c r="I46" s="36">
        <f>IF(AND(H46&lt;&gt;"",IFERROR(_xlfn.XLOOKUP(D46,HELPER!$B:$B,HELPER!$E:$E,""),"")=""),"Missing price",IFERROR(_xlfn.XLOOKUP(D46,HELPER!$B:$B,HELPER!$E:$E,"")," "))</f>
        <v/>
      </c>
      <c r="J46" s="71">
        <f>IFERROR(H46*(IF(G46=8,I46*HELPER!$G$2,BOM!I46*HELPER!$G$3))," ")</f>
        <v/>
      </c>
      <c r="K46" s="6" t="n"/>
      <c r="L46" s="16">
        <f t="array" ref="L46">IFERROR(_xlfn.LET(_xlpm.pairs,_xlfn._xlws.FILTER($A$2:$D$391,($A$2:$A$391&lt;&gt;"")*(TRIM($D$2:$D$391)&lt;&gt;"")),_xlpm.uniquePairs,_xlfn.UNIQUE(_xlfn.HSTACK(INDEX(_xlpm.pairs,,1),INDEX(_xlpm.pairs,,4))),_xlpm.sortedPairs,_xlfn._xlws.SORT(_xlpm.uniquePairs,1,1),IF(ROW()-1&lt;=ROWS(_xlpm.sortedPairs),INDEX(_xlpm.sortedPairs,ROW()-1,1),"")),"")</f>
        <v/>
      </c>
      <c r="M46" s="17">
        <f t="array" ref="M46">IFERROR(_xlfn.LET(_xlpm.pairs,_xlfn._xlws.FILTER($A$2:$D$391,($A$2:$A$391&lt;&gt;"")*(TRIM($D$2:$D$391)&lt;&gt;"")),_xlpm.uniquePairs,_xlfn.UNIQUE(_xlfn.HSTACK(INDEX(_xlpm.pairs,,1),INDEX(_xlpm.pairs,,4))),_xlpm.sortedPairs,_xlfn._xlws.SORT(_xlpm.uniquePairs,1,1),IF(ROW()-1&lt;=ROWS(_xlpm.sortedPairs),INDEX(_xlpm.sortedPairs,ROW()-1,2),"")),"")</f>
        <v/>
      </c>
      <c r="N46" s="17">
        <f t="array" ref="N46">IF(OR(L46="",M46=""),"",IFERROR(INDEX($E$2:$E$391,MATCH(1,($A$2:$A$391=L46)*($D$2:$D$391=M46),0)),""))</f>
        <v/>
      </c>
      <c r="O46" s="70">
        <f>IF(OR(L46="",M46=""),"",SUMIFS($J$2:$J$391,$A$2:$A$391,L46,$D$2:$D$391,M46))</f>
        <v/>
      </c>
      <c r="P46" s="6" t="n"/>
      <c r="Q46" s="34">
        <f t="array" ref="Q46">IFERROR(INDEX($L$2:$L$391,MATCH(0,COUNTIF($Q$1:Q45,$L$2:$L$391)+IF($L$2:$L$391="",1,0),0)),"")</f>
        <v/>
      </c>
      <c r="R46" s="552">
        <f>IF(Q46="","",SUMIF($L$2:$L$391,Q46,$O$2:$O$391))</f>
        <v/>
      </c>
      <c r="S46" s="553">
        <f>IFERROR(Table3[[#This Row],[Price (€/kg)]]*HELPER!$AK$2," ")</f>
        <v/>
      </c>
    </row>
    <row r="47">
      <c r="A47" s="40" t="inlineStr">
        <is>
          <t>TIPA 302FG W</t>
        </is>
      </c>
      <c r="B47" s="41" t="inlineStr">
        <is>
          <t xml:space="preserve">Ext. B </t>
        </is>
      </c>
      <c r="C47" s="43" t="inlineStr">
        <is>
          <t>SLAB-PBSA</t>
        </is>
      </c>
      <c r="D47" s="43">
        <f>IF(C47="","",IFERROR(_xlfn.XLOOKUP(C47,HELPER!$A$2:$A$76,HELPER!$B$2:$B$76,""),D47))</f>
        <v/>
      </c>
      <c r="E47" s="43">
        <f>IFERROR(_xlfn.XLOOKUP(D47,HELPER!$B:$B,HELPER!$C:$C,""),"")</f>
        <v/>
      </c>
      <c r="F47" s="42">
        <f>IFERROR(_xlfn.XLOOKUP(D47,HELPER!$B:$B,HELPER!$D:$D,""),"")</f>
        <v/>
      </c>
      <c r="G47" s="42" t="n">
        <v>24</v>
      </c>
      <c r="H47" s="551" t="n"/>
      <c r="I47" s="36">
        <f>IF(AND(H47&lt;&gt;"",IFERROR(_xlfn.XLOOKUP(D47,HELPER!$B:$B,HELPER!$E:$E,""),"")=""),"Missing price",IFERROR(_xlfn.XLOOKUP(D47,HELPER!$B:$B,HELPER!$E:$E,"")," "))</f>
        <v/>
      </c>
      <c r="J47" s="71">
        <f>IFERROR(H47*(IF(G47=8,I47*HELPER!$G$2,BOM!I47*HELPER!$G$3))," ")</f>
        <v/>
      </c>
      <c r="K47" s="6" t="n"/>
      <c r="L47" s="14">
        <f t="array" ref="L47">IFERROR(_xlfn.LET(_xlpm.pairs,_xlfn._xlws.FILTER($A$2:$D$391,($A$2:$A$391&lt;&gt;"")*(TRIM($D$2:$D$391)&lt;&gt;"")),_xlpm.uniquePairs,_xlfn.UNIQUE(_xlfn.HSTACK(INDEX(_xlpm.pairs,,1),INDEX(_xlpm.pairs,,4))),_xlpm.sortedPairs,_xlfn._xlws.SORT(_xlpm.uniquePairs,1,1),IF(ROW()-1&lt;=ROWS(_xlpm.sortedPairs),INDEX(_xlpm.sortedPairs,ROW()-1,1),"")),"")</f>
        <v/>
      </c>
      <c r="M47" s="15">
        <f t="array" ref="M47">IFERROR(_xlfn.LET(_xlpm.pairs,_xlfn._xlws.FILTER($A$2:$D$391,($A$2:$A$391&lt;&gt;"")*(TRIM($D$2:$D$391)&lt;&gt;"")),_xlpm.uniquePairs,_xlfn.UNIQUE(_xlfn.HSTACK(INDEX(_xlpm.pairs,,1),INDEX(_xlpm.pairs,,4))),_xlpm.sortedPairs,_xlfn._xlws.SORT(_xlpm.uniquePairs,1,1),IF(ROW()-1&lt;=ROWS(_xlpm.sortedPairs),INDEX(_xlpm.sortedPairs,ROW()-1,2),"")),"")</f>
        <v/>
      </c>
      <c r="N47" s="15">
        <f t="array" ref="N47">IF(OR(L47="",M47=""),"",IFERROR(INDEX($E$2:$E$391,MATCH(1,($A$2:$A$391=L47)*($D$2:$D$391=M47),0)),""))</f>
        <v/>
      </c>
      <c r="O47" s="69">
        <f>IF(OR(L47="",M47=""),"",SUMIFS($J$2:$J$391,$A$2:$A$391,L47,$D$2:$D$391,M47))</f>
        <v/>
      </c>
      <c r="P47" s="6" t="n"/>
      <c r="Q47" s="35">
        <f t="array" ref="Q47">IFERROR(INDEX($L$2:$L$391,MATCH(0,COUNTIF($Q$1:Q46,$L$2:$L$391)+IF($L$2:$L$391="",1,0),0)),"")</f>
        <v/>
      </c>
      <c r="R47" s="554">
        <f>IF(Q47="","",SUMIF($L$2:$L$391,Q47,$O$2:$O$391))</f>
        <v/>
      </c>
      <c r="S47" s="555">
        <f>IFERROR(Table3[[#This Row],[Price (€/kg)]]*HELPER!$AK$2," ")</f>
        <v/>
      </c>
    </row>
    <row r="48">
      <c r="A48" s="40" t="inlineStr">
        <is>
          <t>TIPA 302FG W</t>
        </is>
      </c>
      <c r="B48" s="41" t="inlineStr">
        <is>
          <t xml:space="preserve">Ext. B </t>
        </is>
      </c>
      <c r="C48" s="43" t="inlineStr">
        <is>
          <t>PBAT</t>
        </is>
      </c>
      <c r="D48" s="43">
        <f>IF(C48="","",IFERROR(_xlfn.XLOOKUP(C48,HELPER!$A$2:$A$76,HELPER!$B$2:$B$76,""),D48))</f>
        <v/>
      </c>
      <c r="E48" s="43">
        <f>IFERROR(_xlfn.XLOOKUP(D48,HELPER!$B:$B,HELPER!$C:$C,""),"")</f>
        <v/>
      </c>
      <c r="F48" s="42">
        <f>IFERROR(_xlfn.XLOOKUP(D48,HELPER!$B:$B,HELPER!$D:$D,""),"")</f>
        <v/>
      </c>
      <c r="G48" s="42" t="n">
        <v>24</v>
      </c>
      <c r="H48" s="551" t="n">
        <v>0.885</v>
      </c>
      <c r="I48" s="36">
        <f>IF(AND(H48&lt;&gt;"",IFERROR(_xlfn.XLOOKUP(D48,HELPER!$B:$B,HELPER!$E:$E,""),"")=""),"Missing price",IFERROR(_xlfn.XLOOKUP(D48,HELPER!$B:$B,HELPER!$E:$E,"")," "))</f>
        <v/>
      </c>
      <c r="J48" s="71">
        <f>IFERROR(H48*(IF(G48=8,I48*HELPER!$G$2,BOM!I48*HELPER!$G$3))," ")</f>
        <v/>
      </c>
      <c r="K48" s="6" t="n"/>
      <c r="L48" s="16">
        <f t="array" ref="L48">IFERROR(_xlfn.LET(_xlpm.pairs,_xlfn._xlws.FILTER($A$2:$D$391,($A$2:$A$391&lt;&gt;"")*(TRIM($D$2:$D$391)&lt;&gt;"")),_xlpm.uniquePairs,_xlfn.UNIQUE(_xlfn.HSTACK(INDEX(_xlpm.pairs,,1),INDEX(_xlpm.pairs,,4))),_xlpm.sortedPairs,_xlfn._xlws.SORT(_xlpm.uniquePairs,1,1),IF(ROW()-1&lt;=ROWS(_xlpm.sortedPairs),INDEX(_xlpm.sortedPairs,ROW()-1,1),"")),"")</f>
        <v/>
      </c>
      <c r="M48" s="17">
        <f t="array" ref="M48">IFERROR(_xlfn.LET(_xlpm.pairs,_xlfn._xlws.FILTER($A$2:$D$391,($A$2:$A$391&lt;&gt;"")*(TRIM($D$2:$D$391)&lt;&gt;"")),_xlpm.uniquePairs,_xlfn.UNIQUE(_xlfn.HSTACK(INDEX(_xlpm.pairs,,1),INDEX(_xlpm.pairs,,4))),_xlpm.sortedPairs,_xlfn._xlws.SORT(_xlpm.uniquePairs,1,1),IF(ROW()-1&lt;=ROWS(_xlpm.sortedPairs),INDEX(_xlpm.sortedPairs,ROW()-1,2),"")),"")</f>
        <v/>
      </c>
      <c r="N48" s="17">
        <f t="array" ref="N48">IF(OR(L48="",M48=""),"",IFERROR(INDEX($E$2:$E$391,MATCH(1,($A$2:$A$391=L48)*($D$2:$D$391=M48),0)),""))</f>
        <v/>
      </c>
      <c r="O48" s="70">
        <f>IF(OR(L48="",M48=""),"",SUMIFS($J$2:$J$391,$A$2:$A$391,L48,$D$2:$D$391,M48))</f>
        <v/>
      </c>
      <c r="P48" s="6" t="n"/>
      <c r="Q48" s="34">
        <f t="array" ref="Q48">IFERROR(INDEX($L$2:$L$391,MATCH(0,COUNTIF($Q$1:Q47,$L$2:$L$391)+IF($L$2:$L$391="",1,0),0)),"")</f>
        <v/>
      </c>
      <c r="R48" s="552">
        <f>IF(Q48="","",SUMIF($L$2:$L$391,Q48,$O$2:$O$391))</f>
        <v/>
      </c>
      <c r="S48" s="553">
        <f>IFERROR(Table3[[#This Row],[Price (€/kg)]]*HELPER!$AK$2," ")</f>
        <v/>
      </c>
    </row>
    <row r="49">
      <c r="A49" s="40" t="inlineStr">
        <is>
          <t>TIPA 302FG W</t>
        </is>
      </c>
      <c r="B49" s="41" t="inlineStr">
        <is>
          <t xml:space="preserve">Ext. B </t>
        </is>
      </c>
      <c r="C49" s="43" t="n"/>
      <c r="D49" s="43">
        <f>IF(C49="","",IFERROR(_xlfn.XLOOKUP(C49,HELPER!$A$2:$A$76,HELPER!$B$2:$B$76,""),D49))</f>
        <v/>
      </c>
      <c r="E49" s="43">
        <f>IFERROR(_xlfn.XLOOKUP(D49,HELPER!$B:$B,HELPER!$C:$C,""),"")</f>
        <v/>
      </c>
      <c r="F49" s="42">
        <f>IFERROR(_xlfn.XLOOKUP(D49,HELPER!$B:$B,HELPER!$D:$D,""),"")</f>
        <v/>
      </c>
      <c r="G49" s="42" t="n">
        <v>24</v>
      </c>
      <c r="H49" s="551" t="n"/>
      <c r="I49" s="36">
        <f>IF(AND(H49&lt;&gt;"",IFERROR(_xlfn.XLOOKUP(D49,HELPER!$B:$B,HELPER!$E:$E,""),"")=""),"Missing price",IFERROR(_xlfn.XLOOKUP(D49,HELPER!$B:$B,HELPER!$E:$E,"")," "))</f>
        <v/>
      </c>
      <c r="J49" s="71">
        <f>IFERROR(H49*(IF(G49=8,I49*HELPER!$G$2,BOM!I49*HELPER!$G$3))," ")</f>
        <v/>
      </c>
      <c r="K49" s="6" t="n"/>
      <c r="L49" s="14">
        <f t="array" ref="L49">IFERROR(_xlfn.LET(_xlpm.pairs,_xlfn._xlws.FILTER($A$2:$D$391,($A$2:$A$391&lt;&gt;"")*(TRIM($D$2:$D$391)&lt;&gt;"")),_xlpm.uniquePairs,_xlfn.UNIQUE(_xlfn.HSTACK(INDEX(_xlpm.pairs,,1),INDEX(_xlpm.pairs,,4))),_xlpm.sortedPairs,_xlfn._xlws.SORT(_xlpm.uniquePairs,1,1),IF(ROW()-1&lt;=ROWS(_xlpm.sortedPairs),INDEX(_xlpm.sortedPairs,ROW()-1,1),"")),"")</f>
        <v/>
      </c>
      <c r="M49" s="15">
        <f t="array" ref="M49">IFERROR(_xlfn.LET(_xlpm.pairs,_xlfn._xlws.FILTER($A$2:$D$391,($A$2:$A$391&lt;&gt;"")*(TRIM($D$2:$D$391)&lt;&gt;"")),_xlpm.uniquePairs,_xlfn.UNIQUE(_xlfn.HSTACK(INDEX(_xlpm.pairs,,1),INDEX(_xlpm.pairs,,4))),_xlpm.sortedPairs,_xlfn._xlws.SORT(_xlpm.uniquePairs,1,1),IF(ROW()-1&lt;=ROWS(_xlpm.sortedPairs),INDEX(_xlpm.sortedPairs,ROW()-1,2),"")),"")</f>
        <v/>
      </c>
      <c r="N49" s="15">
        <f t="array" ref="N49">IF(OR(L49="",M49=""),"",IFERROR(INDEX($E$2:$E$391,MATCH(1,($A$2:$A$391=L49)*($D$2:$D$391=M49),0)),""))</f>
        <v/>
      </c>
      <c r="O49" s="69">
        <f>IF(OR(L49="",M49=""),"",SUMIFS($J$2:$J$391,$A$2:$A$391,L49,$D$2:$D$391,M49))</f>
        <v/>
      </c>
      <c r="P49" s="6" t="n"/>
      <c r="Q49" s="35">
        <f t="array" ref="Q49">IFERROR(INDEX($L$2:$L$391,MATCH(0,COUNTIF($Q$1:Q48,$L$2:$L$391)+IF($L$2:$L$391="",1,0),0)),"")</f>
        <v/>
      </c>
      <c r="R49" s="554">
        <f>IF(Q49="","",SUMIF($L$2:$L$391,Q49,$O$2:$O$391))</f>
        <v/>
      </c>
      <c r="S49" s="555">
        <f>IFERROR(Table3[[#This Row],[Price (€/kg)]]*HELPER!$AK$2," ")</f>
        <v/>
      </c>
    </row>
    <row r="50">
      <c r="A50" s="40" t="inlineStr">
        <is>
          <t>TIPA 302FG W</t>
        </is>
      </c>
      <c r="B50" s="41" t="inlineStr">
        <is>
          <t xml:space="preserve">Ext. B </t>
        </is>
      </c>
      <c r="C50" s="43" t="n"/>
      <c r="D50" s="43">
        <f>IF(C50="","",IFERROR(_xlfn.XLOOKUP(C50,HELPER!$A$2:$A$76,HELPER!$B$2:$B$76,""),D50))</f>
        <v/>
      </c>
      <c r="E50" s="43">
        <f>IFERROR(_xlfn.XLOOKUP(D50,HELPER!$B:$B,HELPER!$C:$C,""),"")</f>
        <v/>
      </c>
      <c r="F50" s="42">
        <f>IFERROR(_xlfn.XLOOKUP(D50,HELPER!$B:$B,HELPER!$D:$D,""),"")</f>
        <v/>
      </c>
      <c r="G50" s="42" t="n">
        <v>24</v>
      </c>
      <c r="H50" s="551" t="n"/>
      <c r="I50" s="36">
        <f>IF(AND(H50&lt;&gt;"",IFERROR(_xlfn.XLOOKUP(D50,HELPER!$B:$B,HELPER!$E:$E,""),"")=""),"Missing price",IFERROR(_xlfn.XLOOKUP(D50,HELPER!$B:$B,HELPER!$E:$E,"")," "))</f>
        <v/>
      </c>
      <c r="J50" s="71">
        <f>IFERROR(H50*(IF(G50=8,I50*HELPER!$G$2,BOM!I50*HELPER!$G$3))," ")</f>
        <v/>
      </c>
      <c r="K50" s="6" t="n"/>
      <c r="L50" s="16">
        <f t="array" ref="L50">IFERROR(_xlfn.LET(_xlpm.pairs,_xlfn._xlws.FILTER($A$2:$D$391,($A$2:$A$391&lt;&gt;"")*(TRIM($D$2:$D$391)&lt;&gt;"")),_xlpm.uniquePairs,_xlfn.UNIQUE(_xlfn.HSTACK(INDEX(_xlpm.pairs,,1),INDEX(_xlpm.pairs,,4))),_xlpm.sortedPairs,_xlfn._xlws.SORT(_xlpm.uniquePairs,1,1),IF(ROW()-1&lt;=ROWS(_xlpm.sortedPairs),INDEX(_xlpm.sortedPairs,ROW()-1,1),"")),"")</f>
        <v/>
      </c>
      <c r="M50" s="17">
        <f t="array" ref="M50">IFERROR(_xlfn.LET(_xlpm.pairs,_xlfn._xlws.FILTER($A$2:$D$391,($A$2:$A$391&lt;&gt;"")*(TRIM($D$2:$D$391)&lt;&gt;"")),_xlpm.uniquePairs,_xlfn.UNIQUE(_xlfn.HSTACK(INDEX(_xlpm.pairs,,1),INDEX(_xlpm.pairs,,4))),_xlpm.sortedPairs,_xlfn._xlws.SORT(_xlpm.uniquePairs,1,1),IF(ROW()-1&lt;=ROWS(_xlpm.sortedPairs),INDEX(_xlpm.sortedPairs,ROW()-1,2),"")),"")</f>
        <v/>
      </c>
      <c r="N50" s="17">
        <f t="array" ref="N50">IF(OR(L50="",M50=""),"",IFERROR(INDEX($E$2:$E$391,MATCH(1,($A$2:$A$391=L50)*($D$2:$D$391=M50),0)),""))</f>
        <v/>
      </c>
      <c r="O50" s="70">
        <f>IF(OR(L50="",M50=""),"",SUMIFS($J$2:$J$391,$A$2:$A$391,L50,$D$2:$D$391,M50))</f>
        <v/>
      </c>
      <c r="P50" s="6" t="n"/>
      <c r="Q50" s="34">
        <f t="array" ref="Q50">IFERROR(INDEX($L$2:$L$391,MATCH(0,COUNTIF($Q$1:Q49,$L$2:$L$391)+IF($L$2:$L$391="",1,0),0)),"")</f>
        <v/>
      </c>
      <c r="R50" s="552">
        <f>IF(Q50="","",SUMIF($L$2:$L$391,Q50,$O$2:$O$391))</f>
        <v/>
      </c>
      <c r="S50" s="553">
        <f>IFERROR(Table3[[#This Row],[Price (€/kg)]]*HELPER!$AK$2," ")</f>
        <v/>
      </c>
    </row>
    <row r="51">
      <c r="A51" s="44" t="inlineStr">
        <is>
          <t>TIPA 302FG W</t>
        </is>
      </c>
      <c r="B51" s="44" t="inlineStr">
        <is>
          <t xml:space="preserve">Ext. B </t>
        </is>
      </c>
      <c r="C51" s="60" t="n"/>
      <c r="D51" s="43">
        <f>IF(C51="","",IFERROR(_xlfn.XLOOKUP(C51,HELPER!$A$2:$A$76,HELPER!$B$2:$B$76,""),D51))</f>
        <v/>
      </c>
      <c r="E51" s="43">
        <f>IFERROR(_xlfn.XLOOKUP(D51,HELPER!$B:$B,HELPER!$C:$C,""),"")</f>
        <v/>
      </c>
      <c r="F51" s="42">
        <f>IFERROR(_xlfn.XLOOKUP(D51,HELPER!$B:$B,HELPER!$D:$D,""),"")</f>
        <v/>
      </c>
      <c r="G51" s="61" t="n">
        <v>24</v>
      </c>
      <c r="H51" s="523" t="n"/>
      <c r="I51" s="63">
        <f>IF(AND(H51&lt;&gt;"",IFERROR(_xlfn.XLOOKUP(D51,HELPER!$B:$B,HELPER!$E:$E,""),"")=""),"Missing price",IFERROR(_xlfn.XLOOKUP(D51,HELPER!$B:$B,HELPER!$E:$E,"")," "))</f>
        <v/>
      </c>
      <c r="J51" s="72">
        <f>IFERROR(H51*(IF(G51=8,I51*HELPER!$G$2,BOM!I51*HELPER!$G$3))," ")</f>
        <v/>
      </c>
      <c r="K51" s="6" t="n"/>
      <c r="L51" s="14">
        <f t="array" ref="L51">IFERROR(_xlfn.LET(_xlpm.pairs,_xlfn._xlws.FILTER($A$2:$D$391,($A$2:$A$391&lt;&gt;"")*(TRIM($D$2:$D$391)&lt;&gt;"")),_xlpm.uniquePairs,_xlfn.UNIQUE(_xlfn.HSTACK(INDEX(_xlpm.pairs,,1),INDEX(_xlpm.pairs,,4))),_xlpm.sortedPairs,_xlfn._xlws.SORT(_xlpm.uniquePairs,1,1),IF(ROW()-1&lt;=ROWS(_xlpm.sortedPairs),INDEX(_xlpm.sortedPairs,ROW()-1,1),"")),"")</f>
        <v/>
      </c>
      <c r="M51" s="15">
        <f t="array" ref="M51">IFERROR(_xlfn.LET(_xlpm.pairs,_xlfn._xlws.FILTER($A$2:$D$391,($A$2:$A$391&lt;&gt;"")*(TRIM($D$2:$D$391)&lt;&gt;"")),_xlpm.uniquePairs,_xlfn.UNIQUE(_xlfn.HSTACK(INDEX(_xlpm.pairs,,1),INDEX(_xlpm.pairs,,4))),_xlpm.sortedPairs,_xlfn._xlws.SORT(_xlpm.uniquePairs,1,1),IF(ROW()-1&lt;=ROWS(_xlpm.sortedPairs),INDEX(_xlpm.sortedPairs,ROW()-1,2),"")),"")</f>
        <v/>
      </c>
      <c r="N51" s="15">
        <f t="array" ref="N51">IF(OR(L51="",M51=""),"",IFERROR(INDEX($E$2:$E$391,MATCH(1,($A$2:$A$391=L51)*($D$2:$D$391=M51),0)),""))</f>
        <v/>
      </c>
      <c r="O51" s="69">
        <f>IF(OR(L51="",M51=""),"",SUMIFS($J$2:$J$391,$A$2:$A$391,L51,$D$2:$D$391,M51))</f>
        <v/>
      </c>
      <c r="P51" s="6" t="n"/>
    </row>
    <row r="52">
      <c r="A52" s="44" t="inlineStr">
        <is>
          <t>TIPA 302FG W</t>
        </is>
      </c>
      <c r="B52" s="44" t="inlineStr">
        <is>
          <t>Ext. C (In)</t>
        </is>
      </c>
      <c r="C52" s="43" t="inlineStr">
        <is>
          <t>PBSA</t>
        </is>
      </c>
      <c r="D52" s="43">
        <f>IF(C52="","",IFERROR(_xlfn.XLOOKUP(C52,HELPER!$A$2:$A$76,HELPER!$B$2:$B$76,""),D52))</f>
        <v/>
      </c>
      <c r="E52" s="43">
        <f>IFERROR(_xlfn.XLOOKUP(D52,HELPER!$B:$B,HELPER!$C:$C,""),"")</f>
        <v/>
      </c>
      <c r="F52" s="42">
        <f>IFERROR(_xlfn.XLOOKUP(D52,HELPER!$B:$B,HELPER!$D:$D,""),"")</f>
        <v/>
      </c>
      <c r="G52" s="42" t="n">
        <v>8</v>
      </c>
      <c r="H52" s="523" t="n">
        <v>0.8100000000000001</v>
      </c>
      <c r="I52" s="63">
        <f>IF(AND(H52&lt;&gt;"",IFERROR(_xlfn.XLOOKUP(D52,HELPER!$B:$B,HELPER!$E:$E,""),"")=""),"Missing price",IFERROR(_xlfn.XLOOKUP(D52,HELPER!$B:$B,HELPER!$E:$E,"")," "))</f>
        <v/>
      </c>
      <c r="J52" s="72">
        <f>IFERROR(H52*(IF(G52=8,I52*HELPER!$G$2,BOM!I52*HELPER!$G$3))," ")</f>
        <v/>
      </c>
      <c r="K52" s="6" t="n"/>
      <c r="L52" s="16">
        <f t="array" ref="L52">IFERROR(_xlfn.LET(_xlpm.pairs,_xlfn._xlws.FILTER($A$2:$D$391,($A$2:$A$391&lt;&gt;"")*(TRIM($D$2:$D$391)&lt;&gt;"")),_xlpm.uniquePairs,_xlfn.UNIQUE(_xlfn.HSTACK(INDEX(_xlpm.pairs,,1),INDEX(_xlpm.pairs,,4))),_xlpm.sortedPairs,_xlfn._xlws.SORT(_xlpm.uniquePairs,1,1),IF(ROW()-1&lt;=ROWS(_xlpm.sortedPairs),INDEX(_xlpm.sortedPairs,ROW()-1,1),"")),"")</f>
        <v/>
      </c>
      <c r="M52" s="17">
        <f t="array" ref="M52">IFERROR(_xlfn.LET(_xlpm.pairs,_xlfn._xlws.FILTER($A$2:$D$391,($A$2:$A$391&lt;&gt;"")*(TRIM($D$2:$D$391)&lt;&gt;"")),_xlpm.uniquePairs,_xlfn.UNIQUE(_xlfn.HSTACK(INDEX(_xlpm.pairs,,1),INDEX(_xlpm.pairs,,4))),_xlpm.sortedPairs,_xlfn._xlws.SORT(_xlpm.uniquePairs,1,1),IF(ROW()-1&lt;=ROWS(_xlpm.sortedPairs),INDEX(_xlpm.sortedPairs,ROW()-1,2),"")),"")</f>
        <v/>
      </c>
      <c r="N52" s="17">
        <f t="array" ref="N52">IF(OR(L52="",M52=""),"",IFERROR(INDEX($E$2:$E$391,MATCH(1,($A$2:$A$391=L52)*($D$2:$D$391=M52),0)),""))</f>
        <v/>
      </c>
      <c r="O52" s="70">
        <f>IF(OR(L52="",M52=""),"",SUMIFS($J$2:$J$391,$A$2:$A$391,L52,$D$2:$D$391,M52))</f>
        <v/>
      </c>
      <c r="P52" s="6" t="n"/>
    </row>
    <row r="53">
      <c r="A53" s="44" t="inlineStr">
        <is>
          <t>TIPA 302FG W</t>
        </is>
      </c>
      <c r="B53" s="44" t="inlineStr">
        <is>
          <t>Ext. C (In)</t>
        </is>
      </c>
      <c r="C53" s="43" t="inlineStr">
        <is>
          <t>PLA</t>
        </is>
      </c>
      <c r="D53" s="43">
        <f>IF(C53="","",IFERROR(_xlfn.XLOOKUP(C53,HELPER!$A$2:$A$76,HELPER!$B$2:$B$76,""),D53))</f>
        <v/>
      </c>
      <c r="E53" s="43">
        <f>IFERROR(_xlfn.XLOOKUP(D53,HELPER!$B:$B,HELPER!$C:$C,""),"")</f>
        <v/>
      </c>
      <c r="F53" s="42">
        <f>IFERROR(_xlfn.XLOOKUP(D53,HELPER!$B:$B,HELPER!$D:$D,""),"")</f>
        <v/>
      </c>
      <c r="G53" s="42" t="n">
        <v>8</v>
      </c>
      <c r="H53" s="523" t="n">
        <v>0.144</v>
      </c>
      <c r="I53" s="63">
        <f>IF(AND(H53&lt;&gt;"",IFERROR(_xlfn.XLOOKUP(D53,HELPER!$B:$B,HELPER!$E:$E,""),"")=""),"Missing price",IFERROR(_xlfn.XLOOKUP(D53,HELPER!$B:$B,HELPER!$E:$E,"")," "))</f>
        <v/>
      </c>
      <c r="J53" s="72">
        <f>IFERROR(H53*(IF(G53=8,I53*HELPER!$G$2,BOM!I53*HELPER!$G$3))," ")</f>
        <v/>
      </c>
      <c r="K53" s="6" t="n"/>
      <c r="L53" s="14">
        <f t="array" ref="L53">IFERROR(_xlfn.LET(_xlpm.pairs,_xlfn._xlws.FILTER($A$2:$D$391,($A$2:$A$391&lt;&gt;"")*(TRIM($D$2:$D$391)&lt;&gt;"")),_xlpm.uniquePairs,_xlfn.UNIQUE(_xlfn.HSTACK(INDEX(_xlpm.pairs,,1),INDEX(_xlpm.pairs,,4))),_xlpm.sortedPairs,_xlfn._xlws.SORT(_xlpm.uniquePairs,1,1),IF(ROW()-1&lt;=ROWS(_xlpm.sortedPairs),INDEX(_xlpm.sortedPairs,ROW()-1,1),"")),"")</f>
        <v/>
      </c>
      <c r="M53" s="15">
        <f t="array" ref="M53">IFERROR(_xlfn.LET(_xlpm.pairs,_xlfn._xlws.FILTER($A$2:$D$391,($A$2:$A$391&lt;&gt;"")*(TRIM($D$2:$D$391)&lt;&gt;"")),_xlpm.uniquePairs,_xlfn.UNIQUE(_xlfn.HSTACK(INDEX(_xlpm.pairs,,1),INDEX(_xlpm.pairs,,4))),_xlpm.sortedPairs,_xlfn._xlws.SORT(_xlpm.uniquePairs,1,1),IF(ROW()-1&lt;=ROWS(_xlpm.sortedPairs),INDEX(_xlpm.sortedPairs,ROW()-1,2),"")),"")</f>
        <v/>
      </c>
      <c r="N53" s="15">
        <f t="array" ref="N53">IF(OR(L53="",M53=""),"",IFERROR(INDEX($E$2:$E$391,MATCH(1,($A$2:$A$391=L53)*($D$2:$D$391=M53),0)),""))</f>
        <v/>
      </c>
      <c r="O53" s="69">
        <f>IF(OR(L53="",M53=""),"",SUMIFS($J$2:$J$391,$A$2:$A$391,L53,$D$2:$D$391,M53))</f>
        <v/>
      </c>
      <c r="P53" s="6" t="n"/>
    </row>
    <row r="54">
      <c r="A54" s="44" t="inlineStr">
        <is>
          <t>TIPA 302FG W</t>
        </is>
      </c>
      <c r="B54" s="44" t="inlineStr">
        <is>
          <t>Ext. C (In)</t>
        </is>
      </c>
      <c r="C54" s="43" t="inlineStr">
        <is>
          <t>AB-PLA</t>
        </is>
      </c>
      <c r="D54" s="43">
        <f>IF(C54="","",IFERROR(_xlfn.XLOOKUP(C54,HELPER!$A$2:$A$76,HELPER!$B$2:$B$76,""),D54))</f>
        <v/>
      </c>
      <c r="E54" s="43">
        <f>IFERROR(_xlfn.XLOOKUP(D54,HELPER!$B:$B,HELPER!$C:$C,""),"")</f>
        <v/>
      </c>
      <c r="F54" s="42">
        <f>IFERROR(_xlfn.XLOOKUP(D54,HELPER!$B:$B,HELPER!$D:$D,""),"")</f>
        <v/>
      </c>
      <c r="G54" s="42" t="n">
        <v>8</v>
      </c>
      <c r="H54" s="523" t="n">
        <v>0.015</v>
      </c>
      <c r="I54" s="63">
        <f>IF(AND(H54&lt;&gt;"",IFERROR(_xlfn.XLOOKUP(D54,HELPER!$B:$B,HELPER!$E:$E,""),"")=""),"Missing price",IFERROR(_xlfn.XLOOKUP(D54,HELPER!$B:$B,HELPER!$E:$E,"")," "))</f>
        <v/>
      </c>
      <c r="J54" s="72">
        <f>IFERROR(H54*(IF(G54=8,I54*HELPER!$G$2,BOM!I54*HELPER!$G$3))," ")</f>
        <v/>
      </c>
      <c r="K54" s="6" t="n"/>
      <c r="L54" s="16">
        <f t="array" ref="L54">IFERROR(_xlfn.LET(_xlpm.pairs,_xlfn._xlws.FILTER($A$2:$D$391,($A$2:$A$391&lt;&gt;"")*(TRIM($D$2:$D$391)&lt;&gt;"")),_xlpm.uniquePairs,_xlfn.UNIQUE(_xlfn.HSTACK(INDEX(_xlpm.pairs,,1),INDEX(_xlpm.pairs,,4))),_xlpm.sortedPairs,_xlfn._xlws.SORT(_xlpm.uniquePairs,1,1),IF(ROW()-1&lt;=ROWS(_xlpm.sortedPairs),INDEX(_xlpm.sortedPairs,ROW()-1,1),"")),"")</f>
        <v/>
      </c>
      <c r="M54" s="17">
        <f t="array" ref="M54">IFERROR(_xlfn.LET(_xlpm.pairs,_xlfn._xlws.FILTER($A$2:$D$391,($A$2:$A$391&lt;&gt;"")*(TRIM($D$2:$D$391)&lt;&gt;"")),_xlpm.uniquePairs,_xlfn.UNIQUE(_xlfn.HSTACK(INDEX(_xlpm.pairs,,1),INDEX(_xlpm.pairs,,4))),_xlpm.sortedPairs,_xlfn._xlws.SORT(_xlpm.uniquePairs,1,1),IF(ROW()-1&lt;=ROWS(_xlpm.sortedPairs),INDEX(_xlpm.sortedPairs,ROW()-1,2),"")),"")</f>
        <v/>
      </c>
      <c r="N54" s="17">
        <f t="array" ref="N54">IF(OR(L54="",M54=""),"",IFERROR(INDEX($E$2:$E$391,MATCH(1,($A$2:$A$391=L54)*($D$2:$D$391=M54),0)),""))</f>
        <v/>
      </c>
      <c r="O54" s="70">
        <f>IF(OR(L54="",M54=""),"",SUMIFS($J$2:$J$391,$A$2:$A$391,L54,$D$2:$D$391,M54))</f>
        <v/>
      </c>
      <c r="P54" s="6" t="n"/>
    </row>
    <row r="55">
      <c r="A55" s="44" t="inlineStr">
        <is>
          <t>TIPA 302FG W</t>
        </is>
      </c>
      <c r="B55" s="44" t="inlineStr">
        <is>
          <t>Ext. C (In)</t>
        </is>
      </c>
      <c r="C55" s="43" t="inlineStr">
        <is>
          <t>AO-PBS</t>
        </is>
      </c>
      <c r="D55" s="43">
        <f>IF(C55="","",IFERROR(_xlfn.XLOOKUP(C55,HELPER!$A$2:$A$76,HELPER!$B$2:$B$76,""),D55))</f>
        <v/>
      </c>
      <c r="E55" s="43">
        <f>IFERROR(_xlfn.XLOOKUP(D55,HELPER!$B:$B,HELPER!$C:$C,""),"")</f>
        <v/>
      </c>
      <c r="F55" s="42">
        <f>IFERROR(_xlfn.XLOOKUP(D55,HELPER!$B:$B,HELPER!$D:$D,""),"")</f>
        <v/>
      </c>
      <c r="G55" s="42" t="n">
        <v>8</v>
      </c>
      <c r="H55" s="523" t="n">
        <v>0.015</v>
      </c>
      <c r="I55" s="63">
        <f>IF(AND(H55&lt;&gt;"",IFERROR(_xlfn.XLOOKUP(D55,HELPER!$B:$B,HELPER!$E:$E,""),"")=""),"Missing price",IFERROR(_xlfn.XLOOKUP(D55,HELPER!$B:$B,HELPER!$E:$E,"")," "))</f>
        <v/>
      </c>
      <c r="J55" s="72">
        <f>IFERROR(H55*(IF(G55=8,I55*HELPER!$G$2,BOM!I55*HELPER!$G$3))," ")</f>
        <v/>
      </c>
      <c r="K55" s="6" t="n"/>
      <c r="L55" s="14">
        <f t="array" ref="L55">IFERROR(_xlfn.LET(_xlpm.pairs,_xlfn._xlws.FILTER($A$2:$D$391,($A$2:$A$391&lt;&gt;"")*(TRIM($D$2:$D$391)&lt;&gt;"")),_xlpm.uniquePairs,_xlfn.UNIQUE(_xlfn.HSTACK(INDEX(_xlpm.pairs,,1),INDEX(_xlpm.pairs,,4))),_xlpm.sortedPairs,_xlfn._xlws.SORT(_xlpm.uniquePairs,1,1),IF(ROW()-1&lt;=ROWS(_xlpm.sortedPairs),INDEX(_xlpm.sortedPairs,ROW()-1,1),"")),"")</f>
        <v/>
      </c>
      <c r="M55" s="15">
        <f t="array" ref="M55">IFERROR(_xlfn.LET(_xlpm.pairs,_xlfn._xlws.FILTER($A$2:$D$391,($A$2:$A$391&lt;&gt;"")*(TRIM($D$2:$D$391)&lt;&gt;"")),_xlpm.uniquePairs,_xlfn.UNIQUE(_xlfn.HSTACK(INDEX(_xlpm.pairs,,1),INDEX(_xlpm.pairs,,4))),_xlpm.sortedPairs,_xlfn._xlws.SORT(_xlpm.uniquePairs,1,1),IF(ROW()-1&lt;=ROWS(_xlpm.sortedPairs),INDEX(_xlpm.sortedPairs,ROW()-1,2),"")),"")</f>
        <v/>
      </c>
      <c r="N55" s="15">
        <f t="array" ref="N55">IF(OR(L55="",M55=""),"",IFERROR(INDEX($E$2:$E$391,MATCH(1,($A$2:$A$391=L55)*($D$2:$D$391=M55),0)),""))</f>
        <v/>
      </c>
      <c r="O55" s="69">
        <f>IF(OR(L55="",M55=""),"",SUMIFS($J$2:$J$391,$A$2:$A$391,L55,$D$2:$D$391,M55))</f>
        <v/>
      </c>
      <c r="P55" s="6" t="n"/>
    </row>
    <row r="56">
      <c r="A56" s="44" t="inlineStr">
        <is>
          <t>TIPA 302FG W</t>
        </is>
      </c>
      <c r="B56" s="44" t="inlineStr">
        <is>
          <t>Ext. C (In)</t>
        </is>
      </c>
      <c r="C56" s="43" t="inlineStr">
        <is>
          <t>SLAB-PBSA</t>
        </is>
      </c>
      <c r="D56" s="43">
        <f>IF(C56="","",IFERROR(_xlfn.XLOOKUP(C56,HELPER!$A$2:$A$76,HELPER!$B$2:$B$76,""),D56))</f>
        <v/>
      </c>
      <c r="E56" s="43">
        <f>IFERROR(_xlfn.XLOOKUP(D56,HELPER!$B:$B,HELPER!$C:$C,""),"")</f>
        <v/>
      </c>
      <c r="F56" s="42">
        <f>IFERROR(_xlfn.XLOOKUP(D56,HELPER!$B:$B,HELPER!$D:$D,""),"")</f>
        <v/>
      </c>
      <c r="G56" s="42" t="n">
        <v>8</v>
      </c>
      <c r="H56" s="523" t="n">
        <v>0.016</v>
      </c>
      <c r="I56" s="63">
        <f>IF(AND(H56&lt;&gt;"",IFERROR(_xlfn.XLOOKUP(D56,HELPER!$B:$B,HELPER!$E:$E,""),"")=""),"Missing price",IFERROR(_xlfn.XLOOKUP(D56,HELPER!$B:$B,HELPER!$E:$E,"")," "))</f>
        <v/>
      </c>
      <c r="J56" s="72">
        <f>IFERROR(H56*(IF(G56=8,I56*HELPER!$G$2,BOM!I56*HELPER!$G$3))," ")</f>
        <v/>
      </c>
      <c r="K56" s="6" t="n"/>
      <c r="L56" s="16">
        <f t="array" ref="L56">IFERROR(_xlfn.LET(_xlpm.pairs,_xlfn._xlws.FILTER($A$2:$D$391,($A$2:$A$391&lt;&gt;"")*(TRIM($D$2:$D$391)&lt;&gt;"")),_xlpm.uniquePairs,_xlfn.UNIQUE(_xlfn.HSTACK(INDEX(_xlpm.pairs,,1),INDEX(_xlpm.pairs,,4))),_xlpm.sortedPairs,_xlfn._xlws.SORT(_xlpm.uniquePairs,1,1),IF(ROW()-1&lt;=ROWS(_xlpm.sortedPairs),INDEX(_xlpm.sortedPairs,ROW()-1,1),"")),"")</f>
        <v/>
      </c>
      <c r="M56" s="17">
        <f t="array" ref="M56">IFERROR(_xlfn.LET(_xlpm.pairs,_xlfn._xlws.FILTER($A$2:$D$391,($A$2:$A$391&lt;&gt;"")*(TRIM($D$2:$D$391)&lt;&gt;"")),_xlpm.uniquePairs,_xlfn.UNIQUE(_xlfn.HSTACK(INDEX(_xlpm.pairs,,1),INDEX(_xlpm.pairs,,4))),_xlpm.sortedPairs,_xlfn._xlws.SORT(_xlpm.uniquePairs,1,1),IF(ROW()-1&lt;=ROWS(_xlpm.sortedPairs),INDEX(_xlpm.sortedPairs,ROW()-1,2),"")),"")</f>
        <v/>
      </c>
      <c r="N56" s="17">
        <f t="array" ref="N56">IF(OR(L56="",M56=""),"",IFERROR(INDEX($E$2:$E$391,MATCH(1,($A$2:$A$391=L56)*($D$2:$D$391=M56),0)),""))</f>
        <v/>
      </c>
      <c r="O56" s="70">
        <f>IF(OR(L56="",M56=""),"",SUMIFS($J$2:$J$391,$A$2:$A$391,L56,$D$2:$D$391,M56))</f>
        <v/>
      </c>
      <c r="P56" s="6" t="n"/>
    </row>
    <row r="57">
      <c r="A57" s="44" t="inlineStr">
        <is>
          <t>TIPA 302FG W</t>
        </is>
      </c>
      <c r="B57" s="44" t="inlineStr">
        <is>
          <t>Ext. C (In)</t>
        </is>
      </c>
      <c r="C57" s="43" t="n"/>
      <c r="D57" s="43">
        <f>IF(C57="","",IFERROR(_xlfn.XLOOKUP(C57,HELPER!$A$2:$A$76,HELPER!$B$2:$B$76,""),D57))</f>
        <v/>
      </c>
      <c r="E57" s="43">
        <f>IFERROR(_xlfn.XLOOKUP(D57,HELPER!$B:$B,HELPER!$C:$C,""),"")</f>
        <v/>
      </c>
      <c r="F57" s="42">
        <f>IFERROR(_xlfn.XLOOKUP(D57,HELPER!$B:$B,HELPER!$D:$D,""),"")</f>
        <v/>
      </c>
      <c r="G57" s="42" t="n">
        <v>8</v>
      </c>
      <c r="I57" s="63">
        <f>IF(AND(H57&lt;&gt;"",IFERROR(_xlfn.XLOOKUP(D57,HELPER!$B:$B,HELPER!$E:$E,""),"")=""),"Missing price",IFERROR(_xlfn.XLOOKUP(D57,HELPER!$B:$B,HELPER!$E:$E,"")," "))</f>
        <v/>
      </c>
      <c r="J57" s="72">
        <f>IFERROR(H57*(IF(G57=8,I57*HELPER!$G$2,BOM!I57*HELPER!$G$3))," ")</f>
        <v/>
      </c>
      <c r="K57" s="6" t="n"/>
      <c r="L57" s="14">
        <f t="array" ref="L57">IFERROR(_xlfn.LET(_xlpm.pairs,_xlfn._xlws.FILTER($A$2:$D$391,($A$2:$A$391&lt;&gt;"")*(TRIM($D$2:$D$391)&lt;&gt;"")),_xlpm.uniquePairs,_xlfn.UNIQUE(_xlfn.HSTACK(INDEX(_xlpm.pairs,,1),INDEX(_xlpm.pairs,,4))),_xlpm.sortedPairs,_xlfn._xlws.SORT(_xlpm.uniquePairs,1,1),IF(ROW()-1&lt;=ROWS(_xlpm.sortedPairs),INDEX(_xlpm.sortedPairs,ROW()-1,1),"")),"")</f>
        <v/>
      </c>
      <c r="M57" s="15">
        <f t="array" ref="M57">IFERROR(_xlfn.LET(_xlpm.pairs,_xlfn._xlws.FILTER($A$2:$D$391,($A$2:$A$391&lt;&gt;"")*(TRIM($D$2:$D$391)&lt;&gt;"")),_xlpm.uniquePairs,_xlfn.UNIQUE(_xlfn.HSTACK(INDEX(_xlpm.pairs,,1),INDEX(_xlpm.pairs,,4))),_xlpm.sortedPairs,_xlfn._xlws.SORT(_xlpm.uniquePairs,1,1),IF(ROW()-1&lt;=ROWS(_xlpm.sortedPairs),INDEX(_xlpm.sortedPairs,ROW()-1,2),"")),"")</f>
        <v/>
      </c>
      <c r="N57" s="15">
        <f t="array" ref="N57">IF(OR(L57="",M57=""),"",IFERROR(INDEX($E$2:$E$391,MATCH(1,($A$2:$A$391=L57)*($D$2:$D$391=M57),0)),""))</f>
        <v/>
      </c>
      <c r="O57" s="69">
        <f>IF(OR(L57="",M57=""),"",SUMIFS($J$2:$J$391,$A$2:$A$391,L57,$D$2:$D$391,M57))</f>
        <v/>
      </c>
      <c r="P57" s="6" t="n"/>
    </row>
    <row r="58">
      <c r="A58" s="44" t="inlineStr">
        <is>
          <t>TIPA 302FG W</t>
        </is>
      </c>
      <c r="B58" s="44" t="inlineStr">
        <is>
          <t>Ext. C (In)</t>
        </is>
      </c>
      <c r="C58" s="43" t="n"/>
      <c r="D58" s="43">
        <f>IF(C58="","",IFERROR(_xlfn.XLOOKUP(C58,HELPER!$A$2:$A$76,HELPER!$B$2:$B$76,""),D58))</f>
        <v/>
      </c>
      <c r="E58" s="43">
        <f>IFERROR(_xlfn.XLOOKUP(D58,HELPER!$B:$B,HELPER!$C:$C,""),"")</f>
        <v/>
      </c>
      <c r="F58" s="42">
        <f>IFERROR(_xlfn.XLOOKUP(D58,HELPER!$B:$B,HELPER!$D:$D,""),"")</f>
        <v/>
      </c>
      <c r="G58" s="42" t="n">
        <v>8</v>
      </c>
      <c r="I58" s="63">
        <f>IF(AND(H58&lt;&gt;"",IFERROR(_xlfn.XLOOKUP(D58,HELPER!$B:$B,HELPER!$E:$E,""),"")=""),"Missing price",IFERROR(_xlfn.XLOOKUP(D58,HELPER!$B:$B,HELPER!$E:$E,"")," "))</f>
        <v/>
      </c>
      <c r="J58" s="72">
        <f>IFERROR(H58*(IF(G58=8,I58*HELPER!$G$2,BOM!I58*HELPER!$G$3))," ")</f>
        <v/>
      </c>
      <c r="K58" s="6" t="n"/>
      <c r="L58" s="16">
        <f t="array" ref="L58">IFERROR(_xlfn.LET(_xlpm.pairs,_xlfn._xlws.FILTER($A$2:$D$391,($A$2:$A$391&lt;&gt;"")*(TRIM($D$2:$D$391)&lt;&gt;"")),_xlpm.uniquePairs,_xlfn.UNIQUE(_xlfn.HSTACK(INDEX(_xlpm.pairs,,1),INDEX(_xlpm.pairs,,4))),_xlpm.sortedPairs,_xlfn._xlws.SORT(_xlpm.uniquePairs,1,1),IF(ROW()-1&lt;=ROWS(_xlpm.sortedPairs),INDEX(_xlpm.sortedPairs,ROW()-1,1),"")),"")</f>
        <v/>
      </c>
      <c r="M58" s="17">
        <f t="array" ref="M58">IFERROR(_xlfn.LET(_xlpm.pairs,_xlfn._xlws.FILTER($A$2:$D$391,($A$2:$A$391&lt;&gt;"")*(TRIM($D$2:$D$391)&lt;&gt;"")),_xlpm.uniquePairs,_xlfn.UNIQUE(_xlfn.HSTACK(INDEX(_xlpm.pairs,,1),INDEX(_xlpm.pairs,,4))),_xlpm.sortedPairs,_xlfn._xlws.SORT(_xlpm.uniquePairs,1,1),IF(ROW()-1&lt;=ROWS(_xlpm.sortedPairs),INDEX(_xlpm.sortedPairs,ROW()-1,2),"")),"")</f>
        <v/>
      </c>
      <c r="N58" s="17">
        <f t="array" ref="N58">IF(OR(L58="",M58=""),"",IFERROR(INDEX($E$2:$E$391,MATCH(1,($A$2:$A$391=L58)*($D$2:$D$391=M58),0)),""))</f>
        <v/>
      </c>
      <c r="O58" s="70">
        <f>IF(OR(L58="",M58=""),"",SUMIFS($J$2:$J$391,$A$2:$A$391,L58,$D$2:$D$391,M58))</f>
        <v/>
      </c>
      <c r="P58" s="6" t="n"/>
    </row>
    <row r="59">
      <c r="A59" s="44" t="inlineStr">
        <is>
          <t>TIPA 302FG W</t>
        </is>
      </c>
      <c r="B59" s="44" t="inlineStr">
        <is>
          <t>Ext. C (In)</t>
        </is>
      </c>
      <c r="C59" s="43" t="n"/>
      <c r="D59" s="43">
        <f>IF(C59="","",IFERROR(_xlfn.XLOOKUP(C59,HELPER!$A$2:$A$76,HELPER!$B$2:$B$76,""),D59))</f>
        <v/>
      </c>
      <c r="E59" s="43">
        <f>IFERROR(_xlfn.XLOOKUP(D59,HELPER!$B:$B,HELPER!$C:$C,""),"")</f>
        <v/>
      </c>
      <c r="F59" s="42">
        <f>IFERROR(_xlfn.XLOOKUP(D59,HELPER!$B:$B,HELPER!$D:$D,""),"")</f>
        <v/>
      </c>
      <c r="G59" s="42" t="n">
        <v>8</v>
      </c>
      <c r="I59" s="63">
        <f>IF(AND(H59&lt;&gt;"",IFERROR(_xlfn.XLOOKUP(D59,HELPER!$B:$B,HELPER!$E:$E,""),"")=""),"Missing price",IFERROR(_xlfn.XLOOKUP(D59,HELPER!$B:$B,HELPER!$E:$E,"")," "))</f>
        <v/>
      </c>
      <c r="J59" s="72">
        <f>IFERROR(H59*(IF(G59=8,I59*HELPER!$G$2,BOM!I59*HELPER!$G$3))," ")</f>
        <v/>
      </c>
      <c r="K59" s="6" t="n"/>
      <c r="L59" s="14">
        <f t="array" ref="L59">IFERROR(_xlfn.LET(_xlpm.pairs,_xlfn._xlws.FILTER($A$2:$D$391,($A$2:$A$391&lt;&gt;"")*(TRIM($D$2:$D$391)&lt;&gt;"")),_xlpm.uniquePairs,_xlfn.UNIQUE(_xlfn.HSTACK(INDEX(_xlpm.pairs,,1),INDEX(_xlpm.pairs,,4))),_xlpm.sortedPairs,_xlfn._xlws.SORT(_xlpm.uniquePairs,1,1),IF(ROW()-1&lt;=ROWS(_xlpm.sortedPairs),INDEX(_xlpm.sortedPairs,ROW()-1,1),"")),"")</f>
        <v/>
      </c>
      <c r="M59" s="15">
        <f t="array" ref="M59">IFERROR(_xlfn.LET(_xlpm.pairs,_xlfn._xlws.FILTER($A$2:$D$391,($A$2:$A$391&lt;&gt;"")*(TRIM($D$2:$D$391)&lt;&gt;"")),_xlpm.uniquePairs,_xlfn.UNIQUE(_xlfn.HSTACK(INDEX(_xlpm.pairs,,1),INDEX(_xlpm.pairs,,4))),_xlpm.sortedPairs,_xlfn._xlws.SORT(_xlpm.uniquePairs,1,1),IF(ROW()-1&lt;=ROWS(_xlpm.sortedPairs),INDEX(_xlpm.sortedPairs,ROW()-1,2),"")),"")</f>
        <v/>
      </c>
      <c r="N59" s="15">
        <f t="array" ref="N59">IF(OR(L59="",M59=""),"",IFERROR(INDEX($E$2:$E$391,MATCH(1,($A$2:$A$391=L59)*($D$2:$D$391=M59),0)),""))</f>
        <v/>
      </c>
      <c r="O59" s="69">
        <f>IF(OR(L59="",M59=""),"",SUMIFS($J$2:$J$391,$A$2:$A$391,L59,$D$2:$D$391,M59))</f>
        <v/>
      </c>
      <c r="P59" s="6" t="n"/>
    </row>
    <row r="60">
      <c r="A60" s="44" t="inlineStr">
        <is>
          <t>TIPA 302FG W</t>
        </is>
      </c>
      <c r="B60" s="44" t="inlineStr">
        <is>
          <t>Ext. C (In)</t>
        </is>
      </c>
      <c r="C60" s="43" t="n"/>
      <c r="D60" s="43">
        <f>IF(C60="","",IFERROR(_xlfn.XLOOKUP(C60,HELPER!$A$2:$A$76,HELPER!$B$2:$B$76,""),D60))</f>
        <v/>
      </c>
      <c r="E60" s="43">
        <f>IFERROR(_xlfn.XLOOKUP(D60,HELPER!$B:$B,HELPER!$C:$C,""),"")</f>
        <v/>
      </c>
      <c r="F60" s="42">
        <f>IFERROR(_xlfn.XLOOKUP(D60,HELPER!$B:$B,HELPER!$D:$D,""),"")</f>
        <v/>
      </c>
      <c r="G60" s="42" t="n">
        <v>8</v>
      </c>
      <c r="I60" s="63">
        <f>IF(AND(H60&lt;&gt;"",IFERROR(_xlfn.XLOOKUP(D60,HELPER!$B:$B,HELPER!$E:$E,""),"")=""),"Missing price",IFERROR(_xlfn.XLOOKUP(D60,HELPER!$B:$B,HELPER!$E:$E,"")," "))</f>
        <v/>
      </c>
      <c r="J60" s="72">
        <f>IFERROR(H60*(IF(G60=8,I60*HELPER!$G$2,BOM!I60*HELPER!$G$3))," ")</f>
        <v/>
      </c>
      <c r="K60" s="6" t="n"/>
      <c r="L60" s="14">
        <f t="array" ref="L60">IFERROR(_xlfn.LET(_xlpm.pairs,_xlfn._xlws.FILTER($A$2:$D$391,($A$2:$A$391&lt;&gt;"")*(TRIM($D$2:$D$391)&lt;&gt;"")),_xlpm.uniquePairs,_xlfn.UNIQUE(_xlfn.HSTACK(INDEX(_xlpm.pairs,,1),INDEX(_xlpm.pairs,,4))),_xlpm.sortedPairs,_xlfn._xlws.SORT(_xlpm.uniquePairs,1,1),IF(ROW()-1&lt;=ROWS(_xlpm.sortedPairs),INDEX(_xlpm.sortedPairs,ROW()-1,1),"")),"")</f>
        <v/>
      </c>
      <c r="M60" s="15">
        <f t="array" ref="M60">IFERROR(_xlfn.LET(_xlpm.pairs,_xlfn._xlws.FILTER($A$2:$D$391,($A$2:$A$391&lt;&gt;"")*(TRIM($D$2:$D$391)&lt;&gt;"")),_xlpm.uniquePairs,_xlfn.UNIQUE(_xlfn.HSTACK(INDEX(_xlpm.pairs,,1),INDEX(_xlpm.pairs,,4))),_xlpm.sortedPairs,_xlfn._xlws.SORT(_xlpm.uniquePairs,1,1),IF(ROW()-1&lt;=ROWS(_xlpm.sortedPairs),INDEX(_xlpm.sortedPairs,ROW()-1,2),"")),"")</f>
        <v/>
      </c>
      <c r="N60" s="15">
        <f t="array" ref="N60">IF(OR(L60="",M60=""),"",IFERROR(INDEX($E$2:$E$391,MATCH(1,($A$2:$A$391=L60)*($D$2:$D$391=M60),0)),""))</f>
        <v/>
      </c>
      <c r="O60" s="69">
        <f>IF(OR(L60="",M60=""),"",SUMIFS($J$2:$J$391,$A$2:$A$391,L60,$D$2:$D$391,M60))</f>
        <v/>
      </c>
      <c r="P60" s="6" t="n"/>
    </row>
    <row r="61">
      <c r="A61" s="44" t="inlineStr">
        <is>
          <t>TIPA 302FG W</t>
        </is>
      </c>
      <c r="B61" s="44" t="inlineStr">
        <is>
          <t>Ext. C (In)</t>
        </is>
      </c>
      <c r="C61" s="43" t="n"/>
      <c r="D61" s="43">
        <f>IF(C61="","",IFERROR(_xlfn.XLOOKUP(C61,HELPER!$A$2:$A$76,HELPER!$B$2:$B$76,""),D61))</f>
        <v/>
      </c>
      <c r="E61" s="43">
        <f>IFERROR(_xlfn.XLOOKUP(D61,HELPER!$B:$B,HELPER!$C:$C,""),"")</f>
        <v/>
      </c>
      <c r="F61" s="42">
        <f>IFERROR(_xlfn.XLOOKUP(D61,HELPER!$B:$B,HELPER!$D:$D,""),"")</f>
        <v/>
      </c>
      <c r="G61" s="42" t="n">
        <v>8</v>
      </c>
      <c r="I61" s="63">
        <f>IF(AND(H61&lt;&gt;"",IFERROR(_xlfn.XLOOKUP(D61,HELPER!$B:$B,HELPER!$E:$E,""),"")=""),"Missing price",IFERROR(_xlfn.XLOOKUP(D61,HELPER!$B:$B,HELPER!$E:$E,"")," "))</f>
        <v/>
      </c>
      <c r="J61" s="72">
        <f>IFERROR(H61*(IF(G61=8,I61*HELPER!$G$2,BOM!I61*HELPER!$G$3))," ")</f>
        <v/>
      </c>
      <c r="K61" s="6" t="n"/>
      <c r="L61" s="14">
        <f t="array" ref="L61">IFERROR(_xlfn.LET(_xlpm.pairs,_xlfn._xlws.FILTER($A$2:$D$391,($A$2:$A$391&lt;&gt;"")*(TRIM($D$2:$D$391)&lt;&gt;"")),_xlpm.uniquePairs,_xlfn.UNIQUE(_xlfn.HSTACK(INDEX(_xlpm.pairs,,1),INDEX(_xlpm.pairs,,4))),_xlpm.sortedPairs,_xlfn._xlws.SORT(_xlpm.uniquePairs,1,1),IF(ROW()-1&lt;=ROWS(_xlpm.sortedPairs),INDEX(_xlpm.sortedPairs,ROW()-1,1),"")),"")</f>
        <v/>
      </c>
      <c r="M61" s="15">
        <f t="array" ref="M61">IFERROR(_xlfn.LET(_xlpm.pairs,_xlfn._xlws.FILTER($A$2:$D$391,($A$2:$A$391&lt;&gt;"")*(TRIM($D$2:$D$391)&lt;&gt;"")),_xlpm.uniquePairs,_xlfn.UNIQUE(_xlfn.HSTACK(INDEX(_xlpm.pairs,,1),INDEX(_xlpm.pairs,,4))),_xlpm.sortedPairs,_xlfn._xlws.SORT(_xlpm.uniquePairs,1,1),IF(ROW()-1&lt;=ROWS(_xlpm.sortedPairs),INDEX(_xlpm.sortedPairs,ROW()-1,2),"")),"")</f>
        <v/>
      </c>
      <c r="N61" s="15">
        <f t="array" ref="N61">IF(OR(L61="",M61=""),"",IFERROR(INDEX($E$2:$E$391,MATCH(1,($A$2:$A$391=L61)*($D$2:$D$391=M61),0)),""))</f>
        <v/>
      </c>
      <c r="O61" s="69">
        <f>IF(OR(L61="",M61=""),"",SUMIFS($J$2:$J$391,$A$2:$A$391,L61,$D$2:$D$391,M61))</f>
        <v/>
      </c>
      <c r="P61" s="6" t="n"/>
    </row>
    <row r="62">
      <c r="A62" s="44" t="inlineStr">
        <is>
          <t>TIPA 312 MFG</t>
        </is>
      </c>
      <c r="B62" s="44" t="inlineStr">
        <is>
          <t>Ext. A (Out - Chillroll)</t>
        </is>
      </c>
      <c r="C62" s="43" t="inlineStr">
        <is>
          <t>PLA</t>
        </is>
      </c>
      <c r="D62" s="43">
        <f>IF(C62="","",IFERROR(_xlfn.XLOOKUP(C62,HELPER!$A$2:$A$76,HELPER!$B$2:$B$76,""),D62))</f>
        <v/>
      </c>
      <c r="E62" s="43">
        <f>IFERROR(_xlfn.XLOOKUP(D62,HELPER!$B:$B,HELPER!$C:$C,""),"")</f>
        <v/>
      </c>
      <c r="F62" s="42">
        <f>IFERROR(_xlfn.XLOOKUP(D62,HELPER!$B:$B,HELPER!$D:$D,""),"")</f>
        <v/>
      </c>
      <c r="G62" s="42" t="n">
        <v>8</v>
      </c>
      <c r="H62" s="523" t="n">
        <v>0.795</v>
      </c>
      <c r="I62" s="63">
        <f>IF(AND(H62&lt;&gt;"",IFERROR(_xlfn.XLOOKUP(D62,HELPER!$B:$B,HELPER!$E:$E,""),"")=""),"Missing price",IFERROR(_xlfn.XLOOKUP(D62,HELPER!$B:$B,HELPER!$E:$E,"")," "))</f>
        <v/>
      </c>
      <c r="J62" s="72">
        <f>IFERROR(H62*(IF(G62=8,I62*HELPER!$G$2,BOM!I62*HELPER!$G$3))," ")</f>
        <v/>
      </c>
      <c r="K62" s="6" t="n"/>
      <c r="L62" s="14">
        <f t="array" ref="L62">IFERROR(_xlfn.LET(_xlpm.pairs,_xlfn._xlws.FILTER($A$2:$D$391,($A$2:$A$391&lt;&gt;"")*(TRIM($D$2:$D$391)&lt;&gt;"")),_xlpm.uniquePairs,_xlfn.UNIQUE(_xlfn.HSTACK(INDEX(_xlpm.pairs,,1),INDEX(_xlpm.pairs,,4))),_xlpm.sortedPairs,_xlfn._xlws.SORT(_xlpm.uniquePairs,1,1),IF(ROW()-1&lt;=ROWS(_xlpm.sortedPairs),INDEX(_xlpm.sortedPairs,ROW()-1,1),"")),"")</f>
        <v/>
      </c>
      <c r="M62" s="15">
        <f t="array" ref="M62">IFERROR(_xlfn.LET(_xlpm.pairs,_xlfn._xlws.FILTER($A$2:$D$391,($A$2:$A$391&lt;&gt;"")*(TRIM($D$2:$D$391)&lt;&gt;"")),_xlpm.uniquePairs,_xlfn.UNIQUE(_xlfn.HSTACK(INDEX(_xlpm.pairs,,1),INDEX(_xlpm.pairs,,4))),_xlpm.sortedPairs,_xlfn._xlws.SORT(_xlpm.uniquePairs,1,1),IF(ROW()-1&lt;=ROWS(_xlpm.sortedPairs),INDEX(_xlpm.sortedPairs,ROW()-1,2),"")),"")</f>
        <v/>
      </c>
      <c r="N62" s="15">
        <f t="array" ref="N62">IF(OR(L62="",M62=""),"",IFERROR(INDEX($E$2:$E$391,MATCH(1,($A$2:$A$391=L62)*($D$2:$D$391=M62),0)),""))</f>
        <v/>
      </c>
      <c r="O62" s="69">
        <f>IF(OR(L62="",M62=""),"",SUMIFS($J$2:$J$391,$A$2:$A$391,L62,$D$2:$D$391,M62))</f>
        <v/>
      </c>
      <c r="P62" s="6" t="n"/>
    </row>
    <row r="63">
      <c r="A63" s="44" t="inlineStr">
        <is>
          <t>TIPA 312 MFG</t>
        </is>
      </c>
      <c r="B63" s="44" t="inlineStr">
        <is>
          <t>Ext. A (Out - Chillroll)</t>
        </is>
      </c>
      <c r="C63" s="43" t="inlineStr">
        <is>
          <t>PCL</t>
        </is>
      </c>
      <c r="D63" s="43">
        <f>IF(C63="","",IFERROR(_xlfn.XLOOKUP(C63,HELPER!$A$2:$A$76,HELPER!$B$2:$B$76,""),D63))</f>
        <v/>
      </c>
      <c r="E63" s="43">
        <f>IFERROR(_xlfn.XLOOKUP(D63,HELPER!$B:$B,HELPER!$C:$C,""),"")</f>
        <v/>
      </c>
      <c r="F63" s="42">
        <f>IFERROR(_xlfn.XLOOKUP(D63,HELPER!$B:$B,HELPER!$D:$D,""),"")</f>
        <v/>
      </c>
      <c r="G63" s="42" t="n">
        <v>8</v>
      </c>
      <c r="H63" s="523" t="n">
        <v>0.19</v>
      </c>
      <c r="I63" s="63">
        <f>IF(AND(H63&lt;&gt;"",IFERROR(_xlfn.XLOOKUP(D63,HELPER!$B:$B,HELPER!$E:$E,""),"")=""),"Missing price",IFERROR(_xlfn.XLOOKUP(D63,HELPER!$B:$B,HELPER!$E:$E,"")," "))</f>
        <v/>
      </c>
      <c r="J63" s="72">
        <f>IFERROR(H63*(IF(G63=8,I63*HELPER!$G$2,BOM!I63*HELPER!$G$3))," ")</f>
        <v/>
      </c>
      <c r="K63" s="6" t="n"/>
      <c r="L63" s="14">
        <f t="array" ref="L63">IFERROR(_xlfn.LET(_xlpm.pairs,_xlfn._xlws.FILTER($A$2:$D$391,($A$2:$A$391&lt;&gt;"")*(TRIM($D$2:$D$391)&lt;&gt;"")),_xlpm.uniquePairs,_xlfn.UNIQUE(_xlfn.HSTACK(INDEX(_xlpm.pairs,,1),INDEX(_xlpm.pairs,,4))),_xlpm.sortedPairs,_xlfn._xlws.SORT(_xlpm.uniquePairs,1,1),IF(ROW()-1&lt;=ROWS(_xlpm.sortedPairs),INDEX(_xlpm.sortedPairs,ROW()-1,1),"")),"")</f>
        <v/>
      </c>
      <c r="M63" s="15">
        <f t="array" ref="M63">IFERROR(_xlfn.LET(_xlpm.pairs,_xlfn._xlws.FILTER($A$2:$D$391,($A$2:$A$391&lt;&gt;"")*(TRIM($D$2:$D$391)&lt;&gt;"")),_xlpm.uniquePairs,_xlfn.UNIQUE(_xlfn.HSTACK(INDEX(_xlpm.pairs,,1),INDEX(_xlpm.pairs,,4))),_xlpm.sortedPairs,_xlfn._xlws.SORT(_xlpm.uniquePairs,1,1),IF(ROW()-1&lt;=ROWS(_xlpm.sortedPairs),INDEX(_xlpm.sortedPairs,ROW()-1,2),"")),"")</f>
        <v/>
      </c>
      <c r="N63" s="15">
        <f t="array" ref="N63">IF(OR(L63="",M63=""),"",IFERROR(INDEX($E$2:$E$391,MATCH(1,($A$2:$A$391=L63)*($D$2:$D$391=M63),0)),""))</f>
        <v/>
      </c>
      <c r="O63" s="69">
        <f>IF(OR(L63="",M63=""),"",SUMIFS($J$2:$J$391,$A$2:$A$391,L63,$D$2:$D$391,M63))</f>
        <v/>
      </c>
      <c r="P63" s="6" t="n"/>
    </row>
    <row r="64">
      <c r="A64" s="44" t="inlineStr">
        <is>
          <t>TIPA 312 MFG</t>
        </is>
      </c>
      <c r="B64" s="44" t="inlineStr">
        <is>
          <t>Ext. A (Out - Chillroll)</t>
        </is>
      </c>
      <c r="C64" s="43" t="inlineStr">
        <is>
          <t>AO-PBS</t>
        </is>
      </c>
      <c r="D64" s="43">
        <f>IF(C64="","",IFERROR(_xlfn.XLOOKUP(C64,HELPER!$A$2:$A$76,HELPER!$B$2:$B$76,""),D64))</f>
        <v/>
      </c>
      <c r="E64" s="43">
        <f>IFERROR(_xlfn.XLOOKUP(D64,HELPER!$B:$B,HELPER!$C:$C,""),"")</f>
        <v/>
      </c>
      <c r="F64" s="42">
        <f>IFERROR(_xlfn.XLOOKUP(D64,HELPER!$B:$B,HELPER!$D:$D,""),"")</f>
        <v/>
      </c>
      <c r="G64" s="42" t="n">
        <v>8</v>
      </c>
      <c r="H64" s="523" t="n">
        <v>0.015</v>
      </c>
      <c r="I64" s="63">
        <f>IF(AND(H64&lt;&gt;"",IFERROR(_xlfn.XLOOKUP(D64,HELPER!$B:$B,HELPER!$E:$E,""),"")=""),"Missing price",IFERROR(_xlfn.XLOOKUP(D64,HELPER!$B:$B,HELPER!$E:$E,"")," "))</f>
        <v/>
      </c>
      <c r="J64" s="72">
        <f>IFERROR(H64*(IF(G64=8,I64*HELPER!$G$2,BOM!I64*HELPER!$G$3))," ")</f>
        <v/>
      </c>
      <c r="K64" s="6" t="n"/>
      <c r="L64" s="14">
        <f t="array" ref="L64">IFERROR(_xlfn.LET(_xlpm.pairs,_xlfn._xlws.FILTER($A$2:$D$391,($A$2:$A$391&lt;&gt;"")*(TRIM($D$2:$D$391)&lt;&gt;"")),_xlpm.uniquePairs,_xlfn.UNIQUE(_xlfn.HSTACK(INDEX(_xlpm.pairs,,1),INDEX(_xlpm.pairs,,4))),_xlpm.sortedPairs,_xlfn._xlws.SORT(_xlpm.uniquePairs,1,1),IF(ROW()-1&lt;=ROWS(_xlpm.sortedPairs),INDEX(_xlpm.sortedPairs,ROW()-1,1),"")),"")</f>
        <v/>
      </c>
      <c r="M64" s="15">
        <f t="array" ref="M64">IFERROR(_xlfn.LET(_xlpm.pairs,_xlfn._xlws.FILTER($A$2:$D$391,($A$2:$A$391&lt;&gt;"")*(TRIM($D$2:$D$391)&lt;&gt;"")),_xlpm.uniquePairs,_xlfn.UNIQUE(_xlfn.HSTACK(INDEX(_xlpm.pairs,,1),INDEX(_xlpm.pairs,,4))),_xlpm.sortedPairs,_xlfn._xlws.SORT(_xlpm.uniquePairs,1,1),IF(ROW()-1&lt;=ROWS(_xlpm.sortedPairs),INDEX(_xlpm.sortedPairs,ROW()-1,2),"")),"")</f>
        <v/>
      </c>
      <c r="N64" s="15">
        <f t="array" ref="N64">IF(OR(L64="",M64=""),"",IFERROR(INDEX($E$2:$E$391,MATCH(1,($A$2:$A$391=L64)*($D$2:$D$391=M64),0)),""))</f>
        <v/>
      </c>
      <c r="O64" s="69">
        <f>IF(OR(L64="",M64=""),"",SUMIFS($J$2:$J$391,$A$2:$A$391,L64,$D$2:$D$391,M64))</f>
        <v/>
      </c>
      <c r="P64" s="6" t="n"/>
    </row>
    <row r="65">
      <c r="A65" s="44" t="inlineStr">
        <is>
          <t>TIPA 312 MFG</t>
        </is>
      </c>
      <c r="B65" s="44" t="inlineStr">
        <is>
          <t>Ext. A (Out - Chillroll)</t>
        </is>
      </c>
      <c r="C65" s="43" t="n"/>
      <c r="D65" s="43">
        <f>IF(C65="","",IFERROR(_xlfn.XLOOKUP(C65,HELPER!$A$2:$A$76,HELPER!$B$2:$B$76,""),D65))</f>
        <v/>
      </c>
      <c r="E65" s="43">
        <f>IFERROR(_xlfn.XLOOKUP(D65,HELPER!$B:$B,HELPER!$C:$C,""),"")</f>
        <v/>
      </c>
      <c r="F65" s="42">
        <f>IFERROR(_xlfn.XLOOKUP(D65,HELPER!$B:$B,HELPER!$D:$D,""),"")</f>
        <v/>
      </c>
      <c r="G65" s="42" t="n">
        <v>8</v>
      </c>
      <c r="I65" s="63">
        <f>IF(AND(H65&lt;&gt;"",IFERROR(_xlfn.XLOOKUP(D65,HELPER!$B:$B,HELPER!$E:$E,""),"")=""),"Missing price",IFERROR(_xlfn.XLOOKUP(D65,HELPER!$B:$B,HELPER!$E:$E,"")," "))</f>
        <v/>
      </c>
      <c r="J65" s="72">
        <f>IFERROR(H65*(IF(G65=8,I65*HELPER!$G$2,BOM!I65*HELPER!$G$3))," ")</f>
        <v/>
      </c>
      <c r="K65" s="6" t="n"/>
      <c r="L65" s="14">
        <f t="array" ref="L65">IFERROR(_xlfn.LET(_xlpm.pairs,_xlfn._xlws.FILTER($A$2:$D$391,($A$2:$A$391&lt;&gt;"")*(TRIM($D$2:$D$391)&lt;&gt;"")),_xlpm.uniquePairs,_xlfn.UNIQUE(_xlfn.HSTACK(INDEX(_xlpm.pairs,,1),INDEX(_xlpm.pairs,,4))),_xlpm.sortedPairs,_xlfn._xlws.SORT(_xlpm.uniquePairs,1,1),IF(ROW()-1&lt;=ROWS(_xlpm.sortedPairs),INDEX(_xlpm.sortedPairs,ROW()-1,1),"")),"")</f>
        <v/>
      </c>
      <c r="M65" s="15">
        <f t="array" ref="M65">IFERROR(_xlfn.LET(_xlpm.pairs,_xlfn._xlws.FILTER($A$2:$D$391,($A$2:$A$391&lt;&gt;"")*(TRIM($D$2:$D$391)&lt;&gt;"")),_xlpm.uniquePairs,_xlfn.UNIQUE(_xlfn.HSTACK(INDEX(_xlpm.pairs,,1),INDEX(_xlpm.pairs,,4))),_xlpm.sortedPairs,_xlfn._xlws.SORT(_xlpm.uniquePairs,1,1),IF(ROW()-1&lt;=ROWS(_xlpm.sortedPairs),INDEX(_xlpm.sortedPairs,ROW()-1,2),"")),"")</f>
        <v/>
      </c>
      <c r="N65" s="15">
        <f t="array" ref="N65">IF(OR(L65="",M65=""),"",IFERROR(INDEX($E$2:$E$391,MATCH(1,($A$2:$A$391=L65)*($D$2:$D$391=M65),0)),""))</f>
        <v/>
      </c>
      <c r="O65" s="69">
        <f>IF(OR(L65="",M65=""),"",SUMIFS($J$2:$J$391,$A$2:$A$391,L65,$D$2:$D$391,M65))</f>
        <v/>
      </c>
      <c r="P65" s="6" t="n"/>
    </row>
    <row r="66">
      <c r="A66" s="44" t="inlineStr">
        <is>
          <t>TIPA 312 MFG</t>
        </is>
      </c>
      <c r="B66" s="44" t="inlineStr">
        <is>
          <t>Ext. A (Out - Chillroll)</t>
        </is>
      </c>
      <c r="C66" s="43" t="n"/>
      <c r="D66" s="43">
        <f>IF(C66="","",IFERROR(_xlfn.XLOOKUP(C66,HELPER!$A$2:$A$76,HELPER!$B$2:$B$76,""),D66))</f>
        <v/>
      </c>
      <c r="E66" s="43">
        <f>IFERROR(_xlfn.XLOOKUP(D66,HELPER!$B:$B,HELPER!$C:$C,""),"")</f>
        <v/>
      </c>
      <c r="F66" s="42">
        <f>IFERROR(_xlfn.XLOOKUP(D66,HELPER!$B:$B,HELPER!$D:$D,""),"")</f>
        <v/>
      </c>
      <c r="G66" s="42" t="n">
        <v>8</v>
      </c>
      <c r="I66" s="63">
        <f>IF(AND(H66&lt;&gt;"",IFERROR(_xlfn.XLOOKUP(D66,HELPER!$B:$B,HELPER!$E:$E,""),"")=""),"Missing price",IFERROR(_xlfn.XLOOKUP(D66,HELPER!$B:$B,HELPER!$E:$E,"")," "))</f>
        <v/>
      </c>
      <c r="J66" s="72">
        <f>IFERROR(H66*(IF(G66=8,I66*HELPER!$G$2,BOM!I66*HELPER!$G$3))," ")</f>
        <v/>
      </c>
      <c r="K66" s="6" t="n"/>
      <c r="L66" s="14">
        <f t="array" ref="L66">IFERROR(_xlfn.LET(_xlpm.pairs,_xlfn._xlws.FILTER($A$2:$D$391,($A$2:$A$391&lt;&gt;"")*(TRIM($D$2:$D$391)&lt;&gt;"")),_xlpm.uniquePairs,_xlfn.UNIQUE(_xlfn.HSTACK(INDEX(_xlpm.pairs,,1),INDEX(_xlpm.pairs,,4))),_xlpm.sortedPairs,_xlfn._xlws.SORT(_xlpm.uniquePairs,1,1),IF(ROW()-1&lt;=ROWS(_xlpm.sortedPairs),INDEX(_xlpm.sortedPairs,ROW()-1,1),"")),"")</f>
        <v/>
      </c>
      <c r="M66" s="15">
        <f t="array" ref="M66">IFERROR(_xlfn.LET(_xlpm.pairs,_xlfn._xlws.FILTER($A$2:$D$391,($A$2:$A$391&lt;&gt;"")*(TRIM($D$2:$D$391)&lt;&gt;"")),_xlpm.uniquePairs,_xlfn.UNIQUE(_xlfn.HSTACK(INDEX(_xlpm.pairs,,1),INDEX(_xlpm.pairs,,4))),_xlpm.sortedPairs,_xlfn._xlws.SORT(_xlpm.uniquePairs,1,1),IF(ROW()-1&lt;=ROWS(_xlpm.sortedPairs),INDEX(_xlpm.sortedPairs,ROW()-1,2),"")),"")</f>
        <v/>
      </c>
      <c r="N66" s="15">
        <f t="array" ref="N66">IF(OR(L66="",M66=""),"",IFERROR(INDEX($E$2:$E$391,MATCH(1,($A$2:$A$391=L66)*($D$2:$D$391=M66),0)),""))</f>
        <v/>
      </c>
      <c r="O66" s="69">
        <f>IF(OR(L66="",M66=""),"",SUMIFS($J$2:$J$391,$A$2:$A$391,L66,$D$2:$D$391,M66))</f>
        <v/>
      </c>
      <c r="P66" s="6" t="n"/>
    </row>
    <row r="67">
      <c r="A67" s="44" t="inlineStr">
        <is>
          <t>TIPA 312 MFG</t>
        </is>
      </c>
      <c r="B67" s="44" t="inlineStr">
        <is>
          <t>Ext. A (Out - Chillroll)</t>
        </is>
      </c>
      <c r="C67" s="43" t="n"/>
      <c r="D67" s="43">
        <f>IF(C67="","",IFERROR(_xlfn.XLOOKUP(C67,HELPER!$A$2:$A$76,HELPER!$B$2:$B$76,""),D67))</f>
        <v/>
      </c>
      <c r="E67" s="43">
        <f>IFERROR(_xlfn.XLOOKUP(D67,HELPER!$B:$B,HELPER!$C:$C,""),"")</f>
        <v/>
      </c>
      <c r="F67" s="42">
        <f>IFERROR(_xlfn.XLOOKUP(D67,HELPER!$B:$B,HELPER!$D:$D,""),"")</f>
        <v/>
      </c>
      <c r="G67" s="42" t="n">
        <v>8</v>
      </c>
      <c r="I67" s="63">
        <f>IF(AND(H67&lt;&gt;"",IFERROR(_xlfn.XLOOKUP(D67,HELPER!$B:$B,HELPER!$E:$E,""),"")=""),"Missing price",IFERROR(_xlfn.XLOOKUP(D67,HELPER!$B:$B,HELPER!$E:$E,"")," "))</f>
        <v/>
      </c>
      <c r="J67" s="72">
        <f>IFERROR(H67*(IF(G67=8,I67*HELPER!$G$2,BOM!I67*HELPER!$G$3))," ")</f>
        <v/>
      </c>
      <c r="K67" s="6" t="n"/>
      <c r="L67" s="14">
        <f t="array" ref="L67">IFERROR(_xlfn.LET(_xlpm.pairs,_xlfn._xlws.FILTER($A$2:$D$391,($A$2:$A$391&lt;&gt;"")*(TRIM($D$2:$D$391)&lt;&gt;"")),_xlpm.uniquePairs,_xlfn.UNIQUE(_xlfn.HSTACK(INDEX(_xlpm.pairs,,1),INDEX(_xlpm.pairs,,4))),_xlpm.sortedPairs,_xlfn._xlws.SORT(_xlpm.uniquePairs,1,1),IF(ROW()-1&lt;=ROWS(_xlpm.sortedPairs),INDEX(_xlpm.sortedPairs,ROW()-1,1),"")),"")</f>
        <v/>
      </c>
      <c r="M67" s="15">
        <f t="array" ref="M67">IFERROR(_xlfn.LET(_xlpm.pairs,_xlfn._xlws.FILTER($A$2:$D$391,($A$2:$A$391&lt;&gt;"")*(TRIM($D$2:$D$391)&lt;&gt;"")),_xlpm.uniquePairs,_xlfn.UNIQUE(_xlfn.HSTACK(INDEX(_xlpm.pairs,,1),INDEX(_xlpm.pairs,,4))),_xlpm.sortedPairs,_xlfn._xlws.SORT(_xlpm.uniquePairs,1,1),IF(ROW()-1&lt;=ROWS(_xlpm.sortedPairs),INDEX(_xlpm.sortedPairs,ROW()-1,2),"")),"")</f>
        <v/>
      </c>
      <c r="N67" s="15">
        <f t="array" ref="N67">IF(OR(L67="",M67=""),"",IFERROR(INDEX($E$2:$E$391,MATCH(1,($A$2:$A$391=L67)*($D$2:$D$391=M67),0)),""))</f>
        <v/>
      </c>
      <c r="O67" s="69">
        <f>IF(OR(L67="",M67=""),"",SUMIFS($J$2:$J$391,$A$2:$A$391,L67,$D$2:$D$391,M67))</f>
        <v/>
      </c>
      <c r="P67" s="6" t="n"/>
    </row>
    <row r="68">
      <c r="A68" s="44" t="inlineStr">
        <is>
          <t>TIPA 312 MFG</t>
        </is>
      </c>
      <c r="B68" s="44" t="inlineStr">
        <is>
          <t>Ext. A (Out - Chillroll)</t>
        </is>
      </c>
      <c r="C68" s="43" t="n"/>
      <c r="D68" s="43">
        <f>IF(C68="","",IFERROR(_xlfn.XLOOKUP(C68,HELPER!$A$2:$A$76,HELPER!$B$2:$B$76,""),D68))</f>
        <v/>
      </c>
      <c r="E68" s="43">
        <f>IFERROR(_xlfn.XLOOKUP(D68,HELPER!$B:$B,HELPER!$C:$C,""),"")</f>
        <v/>
      </c>
      <c r="F68" s="42">
        <f>IFERROR(_xlfn.XLOOKUP(D68,HELPER!$B:$B,HELPER!$D:$D,""),"")</f>
        <v/>
      </c>
      <c r="G68" s="42" t="n">
        <v>8</v>
      </c>
      <c r="I68" s="63">
        <f>IF(AND(H68&lt;&gt;"",IFERROR(_xlfn.XLOOKUP(D68,HELPER!$B:$B,HELPER!$E:$E,""),"")=""),"Missing price",IFERROR(_xlfn.XLOOKUP(D68,HELPER!$B:$B,HELPER!$E:$E,"")," "))</f>
        <v/>
      </c>
      <c r="J68" s="72">
        <f>IFERROR(H68*(IF(G68=8,I68*HELPER!$G$2,BOM!I68*HELPER!$G$3))," ")</f>
        <v/>
      </c>
      <c r="K68" s="6" t="n"/>
      <c r="L68" s="14">
        <f t="array" ref="L68">IFERROR(_xlfn.LET(_xlpm.pairs,_xlfn._xlws.FILTER($A$2:$D$391,($A$2:$A$391&lt;&gt;"")*(TRIM($D$2:$D$391)&lt;&gt;"")),_xlpm.uniquePairs,_xlfn.UNIQUE(_xlfn.HSTACK(INDEX(_xlpm.pairs,,1),INDEX(_xlpm.pairs,,4))),_xlpm.sortedPairs,_xlfn._xlws.SORT(_xlpm.uniquePairs,1,1),IF(ROW()-1&lt;=ROWS(_xlpm.sortedPairs),INDEX(_xlpm.sortedPairs,ROW()-1,1),"")),"")</f>
        <v/>
      </c>
      <c r="M68" s="15">
        <f t="array" ref="M68">IFERROR(_xlfn.LET(_xlpm.pairs,_xlfn._xlws.FILTER($A$2:$D$391,($A$2:$A$391&lt;&gt;"")*(TRIM($D$2:$D$391)&lt;&gt;"")),_xlpm.uniquePairs,_xlfn.UNIQUE(_xlfn.HSTACK(INDEX(_xlpm.pairs,,1),INDEX(_xlpm.pairs,,4))),_xlpm.sortedPairs,_xlfn._xlws.SORT(_xlpm.uniquePairs,1,1),IF(ROW()-1&lt;=ROWS(_xlpm.sortedPairs),INDEX(_xlpm.sortedPairs,ROW()-1,2),"")),"")</f>
        <v/>
      </c>
      <c r="N68" s="15">
        <f t="array" ref="N68">IF(OR(L68="",M68=""),"",IFERROR(INDEX($E$2:$E$391,MATCH(1,($A$2:$A$391=L68)*($D$2:$D$391=M68),0)),""))</f>
        <v/>
      </c>
      <c r="O68" s="69">
        <f>IF(OR(L68="",M68=""),"",SUMIFS($J$2:$J$391,$A$2:$A$391,L68,$D$2:$D$391,M68))</f>
        <v/>
      </c>
      <c r="P68" s="6" t="n"/>
    </row>
    <row r="69">
      <c r="A69" s="44" t="inlineStr">
        <is>
          <t>TIPA 312 MFG</t>
        </is>
      </c>
      <c r="B69" s="44" t="inlineStr">
        <is>
          <t>Ext. A (Out - Chillroll)</t>
        </is>
      </c>
      <c r="C69" s="43" t="n"/>
      <c r="D69" s="43">
        <f>IF(C69="","",IFERROR(_xlfn.XLOOKUP(C69,HELPER!$A$2:$A$76,HELPER!$B$2:$B$76,""),D69))</f>
        <v/>
      </c>
      <c r="E69" s="43">
        <f>IFERROR(_xlfn.XLOOKUP(D69,HELPER!$B:$B,HELPER!$C:$C,""),"")</f>
        <v/>
      </c>
      <c r="F69" s="42">
        <f>IFERROR(_xlfn.XLOOKUP(D69,HELPER!$B:$B,HELPER!$D:$D,""),"")</f>
        <v/>
      </c>
      <c r="G69" s="42" t="n">
        <v>8</v>
      </c>
      <c r="I69" s="63">
        <f>IF(AND(H69&lt;&gt;"",IFERROR(_xlfn.XLOOKUP(D69,HELPER!$B:$B,HELPER!$E:$E,""),"")=""),"Missing price",IFERROR(_xlfn.XLOOKUP(D69,HELPER!$B:$B,HELPER!$E:$E,"")," "))</f>
        <v/>
      </c>
      <c r="J69" s="72">
        <f>IFERROR(H69*(IF(G69=8,I69*HELPER!$G$2,BOM!I69*HELPER!$G$3))," ")</f>
        <v/>
      </c>
      <c r="K69" s="6" t="n"/>
      <c r="L69" s="14">
        <f t="array" ref="L69">IFERROR(_xlfn.LET(_xlpm.pairs,_xlfn._xlws.FILTER($A$2:$D$391,($A$2:$A$391&lt;&gt;"")*(TRIM($D$2:$D$391)&lt;&gt;"")),_xlpm.uniquePairs,_xlfn.UNIQUE(_xlfn.HSTACK(INDEX(_xlpm.pairs,,1),INDEX(_xlpm.pairs,,4))),_xlpm.sortedPairs,_xlfn._xlws.SORT(_xlpm.uniquePairs,1,1),IF(ROW()-1&lt;=ROWS(_xlpm.sortedPairs),INDEX(_xlpm.sortedPairs,ROW()-1,1),"")),"")</f>
        <v/>
      </c>
      <c r="M69" s="15">
        <f t="array" ref="M69">IFERROR(_xlfn.LET(_xlpm.pairs,_xlfn._xlws.FILTER($A$2:$D$391,($A$2:$A$391&lt;&gt;"")*(TRIM($D$2:$D$391)&lt;&gt;"")),_xlpm.uniquePairs,_xlfn.UNIQUE(_xlfn.HSTACK(INDEX(_xlpm.pairs,,1),INDEX(_xlpm.pairs,,4))),_xlpm.sortedPairs,_xlfn._xlws.SORT(_xlpm.uniquePairs,1,1),IF(ROW()-1&lt;=ROWS(_xlpm.sortedPairs),INDEX(_xlpm.sortedPairs,ROW()-1,2),"")),"")</f>
        <v/>
      </c>
      <c r="N69" s="15">
        <f t="array" ref="N69">IF(OR(L69="",M69=""),"",IFERROR(INDEX($E$2:$E$391,MATCH(1,($A$2:$A$391=L69)*($D$2:$D$391=M69),0)),""))</f>
        <v/>
      </c>
      <c r="O69" s="69">
        <f>IF(OR(L69="",M69=""),"",SUMIFS($J$2:$J$391,$A$2:$A$391,L69,$D$2:$D$391,M69))</f>
        <v/>
      </c>
      <c r="P69" s="6" t="n"/>
    </row>
    <row r="70">
      <c r="A70" s="44" t="inlineStr">
        <is>
          <t>TIPA 312 MFG</t>
        </is>
      </c>
      <c r="B70" s="44" t="inlineStr">
        <is>
          <t>Ext. A (Out - Chillroll)</t>
        </is>
      </c>
      <c r="C70" s="43" t="n"/>
      <c r="D70" s="43">
        <f>IF(C70="","",IFERROR(_xlfn.XLOOKUP(C70,HELPER!$A$2:$A$76,HELPER!$B$2:$B$76,""),D70))</f>
        <v/>
      </c>
      <c r="E70" s="43">
        <f>IFERROR(_xlfn.XLOOKUP(D70,HELPER!$B:$B,HELPER!$C:$C,""),"")</f>
        <v/>
      </c>
      <c r="F70" s="42">
        <f>IFERROR(_xlfn.XLOOKUP(D70,HELPER!$B:$B,HELPER!$D:$D,""),"")</f>
        <v/>
      </c>
      <c r="G70" s="42" t="n">
        <v>8</v>
      </c>
      <c r="I70" s="63">
        <f>IF(AND(H70&lt;&gt;"",IFERROR(_xlfn.XLOOKUP(D70,HELPER!$B:$B,HELPER!$E:$E,""),"")=""),"Missing price",IFERROR(_xlfn.XLOOKUP(D70,HELPER!$B:$B,HELPER!$E:$E,"")," "))</f>
        <v/>
      </c>
      <c r="J70" s="72">
        <f>IFERROR(H70*(IF(G70=8,I70*HELPER!$G$2,BOM!I70*HELPER!$G$3))," ")</f>
        <v/>
      </c>
      <c r="K70" s="6" t="n"/>
      <c r="L70" s="14">
        <f t="array" ref="L70">IFERROR(_xlfn.LET(_xlpm.pairs,_xlfn._xlws.FILTER($A$2:$D$391,($A$2:$A$391&lt;&gt;"")*(TRIM($D$2:$D$391)&lt;&gt;"")),_xlpm.uniquePairs,_xlfn.UNIQUE(_xlfn.HSTACK(INDEX(_xlpm.pairs,,1),INDEX(_xlpm.pairs,,4))),_xlpm.sortedPairs,_xlfn._xlws.SORT(_xlpm.uniquePairs,1,1),IF(ROW()-1&lt;=ROWS(_xlpm.sortedPairs),INDEX(_xlpm.sortedPairs,ROW()-1,1),"")),"")</f>
        <v/>
      </c>
      <c r="M70" s="15">
        <f t="array" ref="M70">IFERROR(_xlfn.LET(_xlpm.pairs,_xlfn._xlws.FILTER($A$2:$D$391,($A$2:$A$391&lt;&gt;"")*(TRIM($D$2:$D$391)&lt;&gt;"")),_xlpm.uniquePairs,_xlfn.UNIQUE(_xlfn.HSTACK(INDEX(_xlpm.pairs,,1),INDEX(_xlpm.pairs,,4))),_xlpm.sortedPairs,_xlfn._xlws.SORT(_xlpm.uniquePairs,1,1),IF(ROW()-1&lt;=ROWS(_xlpm.sortedPairs),INDEX(_xlpm.sortedPairs,ROW()-1,2),"")),"")</f>
        <v/>
      </c>
      <c r="N70" s="15">
        <f t="array" ref="N70">IF(OR(L70="",M70=""),"",IFERROR(INDEX($E$2:$E$391,MATCH(1,($A$2:$A$391=L70)*($D$2:$D$391=M70),0)),""))</f>
        <v/>
      </c>
      <c r="O70" s="69">
        <f>IF(OR(L70="",M70=""),"",SUMIFS($J$2:$J$391,$A$2:$A$391,L70,$D$2:$D$391,M70))</f>
        <v/>
      </c>
      <c r="P70" s="6" t="n"/>
    </row>
    <row r="71">
      <c r="A71" s="44" t="inlineStr">
        <is>
          <t>TIPA 312 MFG</t>
        </is>
      </c>
      <c r="B71" s="44" t="inlineStr">
        <is>
          <t>Ext. A (Out - Chillroll)</t>
        </is>
      </c>
      <c r="C71" s="43" t="n"/>
      <c r="D71" s="43">
        <f>IF(C71="","",IFERROR(_xlfn.XLOOKUP(C71,HELPER!$A$2:$A$76,HELPER!$B$2:$B$76,""),D71))</f>
        <v/>
      </c>
      <c r="E71" s="43">
        <f>IFERROR(_xlfn.XLOOKUP(D71,HELPER!$B:$B,HELPER!$C:$C,""),"")</f>
        <v/>
      </c>
      <c r="F71" s="42">
        <f>IFERROR(_xlfn.XLOOKUP(D71,HELPER!$B:$B,HELPER!$D:$D,""),"")</f>
        <v/>
      </c>
      <c r="G71" s="42" t="n">
        <v>8</v>
      </c>
      <c r="I71" s="63">
        <f>IF(AND(H71&lt;&gt;"",IFERROR(_xlfn.XLOOKUP(D71,HELPER!$B:$B,HELPER!$E:$E,""),"")=""),"Missing price",IFERROR(_xlfn.XLOOKUP(D71,HELPER!$B:$B,HELPER!$E:$E,"")," "))</f>
        <v/>
      </c>
      <c r="J71" s="72">
        <f>IFERROR(H71*(IF(G71=8,I71*HELPER!$G$2,BOM!I71*HELPER!$G$3))," ")</f>
        <v/>
      </c>
      <c r="K71" s="6" t="n"/>
      <c r="L71" s="14">
        <f t="array" ref="L71">IFERROR(_xlfn.LET(_xlpm.pairs,_xlfn._xlws.FILTER($A$2:$D$391,($A$2:$A$391&lt;&gt;"")*(TRIM($D$2:$D$391)&lt;&gt;"")),_xlpm.uniquePairs,_xlfn.UNIQUE(_xlfn.HSTACK(INDEX(_xlpm.pairs,,1),INDEX(_xlpm.pairs,,4))),_xlpm.sortedPairs,_xlfn._xlws.SORT(_xlpm.uniquePairs,1,1),IF(ROW()-1&lt;=ROWS(_xlpm.sortedPairs),INDEX(_xlpm.sortedPairs,ROW()-1,1),"")),"")</f>
        <v/>
      </c>
      <c r="M71" s="15">
        <f t="array" ref="M71">IFERROR(_xlfn.LET(_xlpm.pairs,_xlfn._xlws.FILTER($A$2:$D$391,($A$2:$A$391&lt;&gt;"")*(TRIM($D$2:$D$391)&lt;&gt;"")),_xlpm.uniquePairs,_xlfn.UNIQUE(_xlfn.HSTACK(INDEX(_xlpm.pairs,,1),INDEX(_xlpm.pairs,,4))),_xlpm.sortedPairs,_xlfn._xlws.SORT(_xlpm.uniquePairs,1,1),IF(ROW()-1&lt;=ROWS(_xlpm.sortedPairs),INDEX(_xlpm.sortedPairs,ROW()-1,2),"")),"")</f>
        <v/>
      </c>
      <c r="N71" s="15">
        <f t="array" ref="N71">IF(OR(L71="",M71=""),"",IFERROR(INDEX($E$2:$E$391,MATCH(1,($A$2:$A$391=L71)*($D$2:$D$391=M71),0)),""))</f>
        <v/>
      </c>
      <c r="O71" s="69">
        <f>IF(OR(L71="",M71=""),"",SUMIFS($J$2:$J$391,$A$2:$A$391,L71,$D$2:$D$391,M71))</f>
        <v/>
      </c>
      <c r="P71" s="6" t="n"/>
    </row>
    <row r="72">
      <c r="A72" s="44" t="inlineStr">
        <is>
          <t>TIPA 312 MFG</t>
        </is>
      </c>
      <c r="B72" s="44" t="inlineStr">
        <is>
          <t xml:space="preserve">Ext. B </t>
        </is>
      </c>
      <c r="C72" s="43" t="n"/>
      <c r="D72" s="43">
        <f>IF(C72="","",IFERROR(_xlfn.XLOOKUP(C72,HELPER!$A$2:$A$76,HELPER!$B$2:$B$76,""),D72))</f>
        <v/>
      </c>
      <c r="E72" s="43">
        <f>IFERROR(_xlfn.XLOOKUP(D72,HELPER!$B:$B,HELPER!$C:$C,""),"")</f>
        <v/>
      </c>
      <c r="F72" s="42">
        <f>IFERROR(_xlfn.XLOOKUP(D72,HELPER!$B:$B,HELPER!$D:$D,""),"")</f>
        <v/>
      </c>
      <c r="G72" s="42" t="n">
        <v>24</v>
      </c>
      <c r="I72" s="63">
        <f>IF(AND(H72&lt;&gt;"",IFERROR(_xlfn.XLOOKUP(D72,HELPER!$B:$B,HELPER!$E:$E,""),"")=""),"Missing price",IFERROR(_xlfn.XLOOKUP(D72,HELPER!$B:$B,HELPER!$E:$E,"")," "))</f>
        <v/>
      </c>
      <c r="J72" s="72">
        <f>IFERROR(H72*(IF(G72=8,I72*HELPER!$G$2,BOM!I72*HELPER!$G$3))," ")</f>
        <v/>
      </c>
      <c r="K72" s="6" t="n"/>
      <c r="L72" s="14">
        <f t="array" ref="L72">IFERROR(_xlfn.LET(_xlpm.pairs,_xlfn._xlws.FILTER($A$2:$D$391,($A$2:$A$391&lt;&gt;"")*(TRIM($D$2:$D$391)&lt;&gt;"")),_xlpm.uniquePairs,_xlfn.UNIQUE(_xlfn.HSTACK(INDEX(_xlpm.pairs,,1),INDEX(_xlpm.pairs,,4))),_xlpm.sortedPairs,_xlfn._xlws.SORT(_xlpm.uniquePairs,1,1),IF(ROW()-1&lt;=ROWS(_xlpm.sortedPairs),INDEX(_xlpm.sortedPairs,ROW()-1,1),"")),"")</f>
        <v/>
      </c>
      <c r="M72" s="15">
        <f t="array" ref="M72">IFERROR(_xlfn.LET(_xlpm.pairs,_xlfn._xlws.FILTER($A$2:$D$391,($A$2:$A$391&lt;&gt;"")*(TRIM($D$2:$D$391)&lt;&gt;"")),_xlpm.uniquePairs,_xlfn.UNIQUE(_xlfn.HSTACK(INDEX(_xlpm.pairs,,1),INDEX(_xlpm.pairs,,4))),_xlpm.sortedPairs,_xlfn._xlws.SORT(_xlpm.uniquePairs,1,1),IF(ROW()-1&lt;=ROWS(_xlpm.sortedPairs),INDEX(_xlpm.sortedPairs,ROW()-1,2),"")),"")</f>
        <v/>
      </c>
      <c r="N72" s="15">
        <f t="array" ref="N72">IF(OR(L72="",M72=""),"",IFERROR(INDEX($E$2:$E$391,MATCH(1,($A$2:$A$391=L72)*($D$2:$D$391=M72),0)),""))</f>
        <v/>
      </c>
      <c r="O72" s="69">
        <f>IF(OR(L72="",M72=""),"",SUMIFS($J$2:$J$391,$A$2:$A$391,L72,$D$2:$D$391,M72))</f>
        <v/>
      </c>
      <c r="P72" s="6" t="n"/>
    </row>
    <row r="73">
      <c r="A73" s="44" t="inlineStr">
        <is>
          <t>TIPA 312 MFG</t>
        </is>
      </c>
      <c r="B73" s="44" t="inlineStr">
        <is>
          <t xml:space="preserve">Ext. B </t>
        </is>
      </c>
      <c r="C73" s="43" t="n"/>
      <c r="D73" s="43">
        <f>IF(C73="","",IFERROR(_xlfn.XLOOKUP(C73,HELPER!$A$2:$A$76,HELPER!$B$2:$B$76,""),D73))</f>
        <v/>
      </c>
      <c r="E73" s="43">
        <f>IFERROR(_xlfn.XLOOKUP(D73,HELPER!$B:$B,HELPER!$C:$C,""),"")</f>
        <v/>
      </c>
      <c r="F73" s="42">
        <f>IFERROR(_xlfn.XLOOKUP(D73,HELPER!$B:$B,HELPER!$D:$D,""),"")</f>
        <v/>
      </c>
      <c r="G73" s="42" t="n">
        <v>24</v>
      </c>
      <c r="I73" s="63">
        <f>IF(AND(H73&lt;&gt;"",IFERROR(_xlfn.XLOOKUP(D73,HELPER!$B:$B,HELPER!$E:$E,""),"")=""),"Missing price",IFERROR(_xlfn.XLOOKUP(D73,HELPER!$B:$B,HELPER!$E:$E,"")," "))</f>
        <v/>
      </c>
      <c r="J73" s="72">
        <f>IFERROR(H73*(IF(G73=8,I73*HELPER!$G$2,BOM!I73*HELPER!$G$3))," ")</f>
        <v/>
      </c>
      <c r="K73" s="6" t="n"/>
      <c r="L73" s="14">
        <f t="array" ref="L73">IFERROR(_xlfn.LET(_xlpm.pairs,_xlfn._xlws.FILTER($A$2:$D$391,($A$2:$A$391&lt;&gt;"")*(TRIM($D$2:$D$391)&lt;&gt;"")),_xlpm.uniquePairs,_xlfn.UNIQUE(_xlfn.HSTACK(INDEX(_xlpm.pairs,,1),INDEX(_xlpm.pairs,,4))),_xlpm.sortedPairs,_xlfn._xlws.SORT(_xlpm.uniquePairs,1,1),IF(ROW()-1&lt;=ROWS(_xlpm.sortedPairs),INDEX(_xlpm.sortedPairs,ROW()-1,1),"")),"")</f>
        <v/>
      </c>
      <c r="M73" s="15">
        <f t="array" ref="M73">IFERROR(_xlfn.LET(_xlpm.pairs,_xlfn._xlws.FILTER($A$2:$D$391,($A$2:$A$391&lt;&gt;"")*(TRIM($D$2:$D$391)&lt;&gt;"")),_xlpm.uniquePairs,_xlfn.UNIQUE(_xlfn.HSTACK(INDEX(_xlpm.pairs,,1),INDEX(_xlpm.pairs,,4))),_xlpm.sortedPairs,_xlfn._xlws.SORT(_xlpm.uniquePairs,1,1),IF(ROW()-1&lt;=ROWS(_xlpm.sortedPairs),INDEX(_xlpm.sortedPairs,ROW()-1,2),"")),"")</f>
        <v/>
      </c>
      <c r="N73" s="15">
        <f t="array" ref="N73">IF(OR(L73="",M73=""),"",IFERROR(INDEX($E$2:$E$391,MATCH(1,($A$2:$A$391=L73)*($D$2:$D$391=M73),0)),""))</f>
        <v/>
      </c>
      <c r="O73" s="69">
        <f>IF(OR(L73="",M73=""),"",SUMIFS($J$2:$J$391,$A$2:$A$391,L73,$D$2:$D$391,M73))</f>
        <v/>
      </c>
      <c r="P73" s="6" t="n"/>
    </row>
    <row r="74">
      <c r="A74" s="44" t="inlineStr">
        <is>
          <t>TIPA 312 MFG</t>
        </is>
      </c>
      <c r="B74" s="44" t="inlineStr">
        <is>
          <t xml:space="preserve">Ext. B </t>
        </is>
      </c>
      <c r="C74" s="43" t="n"/>
      <c r="D74" s="43">
        <f>IF(C74="","",IFERROR(_xlfn.XLOOKUP(C74,HELPER!$A$2:$A$76,HELPER!$B$2:$B$76,""),D74))</f>
        <v/>
      </c>
      <c r="E74" s="43">
        <f>IFERROR(_xlfn.XLOOKUP(D74,HELPER!$B:$B,HELPER!$C:$C,""),"")</f>
        <v/>
      </c>
      <c r="F74" s="42">
        <f>IFERROR(_xlfn.XLOOKUP(D74,HELPER!$B:$B,HELPER!$D:$D,""),"")</f>
        <v/>
      </c>
      <c r="G74" s="42" t="n">
        <v>24</v>
      </c>
      <c r="I74" s="63">
        <f>IF(AND(H74&lt;&gt;"",IFERROR(_xlfn.XLOOKUP(D74,HELPER!$B:$B,HELPER!$E:$E,""),"")=""),"Missing price",IFERROR(_xlfn.XLOOKUP(D74,HELPER!$B:$B,HELPER!$E:$E,"")," "))</f>
        <v/>
      </c>
      <c r="J74" s="72">
        <f>IFERROR(H74*(IF(G74=8,I74*HELPER!$G$2,BOM!I74*HELPER!$G$3))," ")</f>
        <v/>
      </c>
      <c r="K74" s="6" t="n"/>
      <c r="L74" s="14">
        <f t="array" ref="L74">IFERROR(_xlfn.LET(_xlpm.pairs,_xlfn._xlws.FILTER($A$2:$D$391,($A$2:$A$391&lt;&gt;"")*(TRIM($D$2:$D$391)&lt;&gt;"")),_xlpm.uniquePairs,_xlfn.UNIQUE(_xlfn.HSTACK(INDEX(_xlpm.pairs,,1),INDEX(_xlpm.pairs,,4))),_xlpm.sortedPairs,_xlfn._xlws.SORT(_xlpm.uniquePairs,1,1),IF(ROW()-1&lt;=ROWS(_xlpm.sortedPairs),INDEX(_xlpm.sortedPairs,ROW()-1,1),"")),"")</f>
        <v/>
      </c>
      <c r="M74" s="15">
        <f t="array" ref="M74">IFERROR(_xlfn.LET(_xlpm.pairs,_xlfn._xlws.FILTER($A$2:$D$391,($A$2:$A$391&lt;&gt;"")*(TRIM($D$2:$D$391)&lt;&gt;"")),_xlpm.uniquePairs,_xlfn.UNIQUE(_xlfn.HSTACK(INDEX(_xlpm.pairs,,1),INDEX(_xlpm.pairs,,4))),_xlpm.sortedPairs,_xlfn._xlws.SORT(_xlpm.uniquePairs,1,1),IF(ROW()-1&lt;=ROWS(_xlpm.sortedPairs),INDEX(_xlpm.sortedPairs,ROW()-1,2),"")),"")</f>
        <v/>
      </c>
      <c r="N74" s="15">
        <f t="array" ref="N74">IF(OR(L74="",M74=""),"",IFERROR(INDEX($E$2:$E$391,MATCH(1,($A$2:$A$391=L74)*($D$2:$D$391=M74),0)),""))</f>
        <v/>
      </c>
      <c r="O74" s="69">
        <f>IF(OR(L74="",M74=""),"",SUMIFS($J$2:$J$391,$A$2:$A$391,L74,$D$2:$D$391,M74))</f>
        <v/>
      </c>
      <c r="P74" s="6" t="n"/>
    </row>
    <row r="75">
      <c r="A75" s="44" t="inlineStr">
        <is>
          <t>TIPA 312 MFG</t>
        </is>
      </c>
      <c r="B75" s="44" t="inlineStr">
        <is>
          <t xml:space="preserve">Ext. B </t>
        </is>
      </c>
      <c r="C75" s="43" t="n"/>
      <c r="D75" s="43">
        <f>IF(C75="","",IFERROR(_xlfn.XLOOKUP(C75,HELPER!$A$2:$A$76,HELPER!$B$2:$B$76,""),D75))</f>
        <v/>
      </c>
      <c r="E75" s="43">
        <f>IFERROR(_xlfn.XLOOKUP(D75,HELPER!$B:$B,HELPER!$C:$C,""),"")</f>
        <v/>
      </c>
      <c r="F75" s="42">
        <f>IFERROR(_xlfn.XLOOKUP(D75,HELPER!$B:$B,HELPER!$D:$D,""),"")</f>
        <v/>
      </c>
      <c r="G75" s="42" t="n">
        <v>24</v>
      </c>
      <c r="I75" s="63">
        <f>IF(AND(H75&lt;&gt;"",IFERROR(_xlfn.XLOOKUP(D75,HELPER!$B:$B,HELPER!$E:$E,""),"")=""),"Missing price",IFERROR(_xlfn.XLOOKUP(D75,HELPER!$B:$B,HELPER!$E:$E,"")," "))</f>
        <v/>
      </c>
      <c r="J75" s="72">
        <f>IFERROR(H75*(IF(G75=8,I75*HELPER!$G$2,BOM!I75*HELPER!$G$3))," ")</f>
        <v/>
      </c>
      <c r="K75" s="6" t="n"/>
      <c r="L75" s="14">
        <f t="array" ref="L75">IFERROR(_xlfn.LET(_xlpm.pairs,_xlfn._xlws.FILTER($A$2:$D$391,($A$2:$A$391&lt;&gt;"")*(TRIM($D$2:$D$391)&lt;&gt;"")),_xlpm.uniquePairs,_xlfn.UNIQUE(_xlfn.HSTACK(INDEX(_xlpm.pairs,,1),INDEX(_xlpm.pairs,,4))),_xlpm.sortedPairs,_xlfn._xlws.SORT(_xlpm.uniquePairs,1,1),IF(ROW()-1&lt;=ROWS(_xlpm.sortedPairs),INDEX(_xlpm.sortedPairs,ROW()-1,1),"")),"")</f>
        <v/>
      </c>
      <c r="M75" s="15">
        <f t="array" ref="M75">IFERROR(_xlfn.LET(_xlpm.pairs,_xlfn._xlws.FILTER($A$2:$D$391,($A$2:$A$391&lt;&gt;"")*(TRIM($D$2:$D$391)&lt;&gt;"")),_xlpm.uniquePairs,_xlfn.UNIQUE(_xlfn.HSTACK(INDEX(_xlpm.pairs,,1),INDEX(_xlpm.pairs,,4))),_xlpm.sortedPairs,_xlfn._xlws.SORT(_xlpm.uniquePairs,1,1),IF(ROW()-1&lt;=ROWS(_xlpm.sortedPairs),INDEX(_xlpm.sortedPairs,ROW()-1,2),"")),"")</f>
        <v/>
      </c>
      <c r="N75" s="15">
        <f t="array" ref="N75">IF(OR(L75="",M75=""),"",IFERROR(INDEX($E$2:$E$391,MATCH(1,($A$2:$A$391=L75)*($D$2:$D$391=M75),0)),""))</f>
        <v/>
      </c>
      <c r="O75" s="69">
        <f>IF(OR(L75="",M75=""),"",SUMIFS($J$2:$J$391,$A$2:$A$391,L75,$D$2:$D$391,M75))</f>
        <v/>
      </c>
      <c r="P75" s="6" t="n"/>
    </row>
    <row r="76">
      <c r="A76" s="44" t="inlineStr">
        <is>
          <t>TIPA 312 MFG</t>
        </is>
      </c>
      <c r="B76" s="44" t="inlineStr">
        <is>
          <t xml:space="preserve">Ext. B </t>
        </is>
      </c>
      <c r="C76" s="43" t="inlineStr">
        <is>
          <t>AO-PBS</t>
        </is>
      </c>
      <c r="D76" s="43">
        <f>IF(C76="","",IFERROR(_xlfn.XLOOKUP(C76,HELPER!$A$2:$A$76,HELPER!$B$2:$B$76,""),D76))</f>
        <v/>
      </c>
      <c r="E76" s="43">
        <f>IFERROR(_xlfn.XLOOKUP(D76,HELPER!$B:$B,HELPER!$C:$C,""),"")</f>
        <v/>
      </c>
      <c r="F76" s="42">
        <f>IFERROR(_xlfn.XLOOKUP(D76,HELPER!$B:$B,HELPER!$D:$D,""),"")</f>
        <v/>
      </c>
      <c r="G76" s="42" t="n">
        <v>24</v>
      </c>
      <c r="H76" s="523" t="n">
        <v>0.015</v>
      </c>
      <c r="I76" s="63">
        <f>IF(AND(H76&lt;&gt;"",IFERROR(_xlfn.XLOOKUP(D76,HELPER!$B:$B,HELPER!$E:$E,""),"")=""),"Missing price",IFERROR(_xlfn.XLOOKUP(D76,HELPER!$B:$B,HELPER!$E:$E,"")," "))</f>
        <v/>
      </c>
      <c r="J76" s="72">
        <f>IFERROR(H76*(IF(G76=8,I76*HELPER!$G$2,BOM!I76*HELPER!$G$3))," ")</f>
        <v/>
      </c>
      <c r="K76" s="6" t="n"/>
      <c r="L76" s="14">
        <f t="array" ref="L76">IFERROR(_xlfn.LET(_xlpm.pairs,_xlfn._xlws.FILTER($A$2:$D$391,($A$2:$A$391&lt;&gt;"")*(TRIM($D$2:$D$391)&lt;&gt;"")),_xlpm.uniquePairs,_xlfn.UNIQUE(_xlfn.HSTACK(INDEX(_xlpm.pairs,,1),INDEX(_xlpm.pairs,,4))),_xlpm.sortedPairs,_xlfn._xlws.SORT(_xlpm.uniquePairs,1,1),IF(ROW()-1&lt;=ROWS(_xlpm.sortedPairs),INDEX(_xlpm.sortedPairs,ROW()-1,1),"")),"")</f>
        <v/>
      </c>
      <c r="M76" s="15">
        <f t="array" ref="M76">IFERROR(_xlfn.LET(_xlpm.pairs,_xlfn._xlws.FILTER($A$2:$D$391,($A$2:$A$391&lt;&gt;"")*(TRIM($D$2:$D$391)&lt;&gt;"")),_xlpm.uniquePairs,_xlfn.UNIQUE(_xlfn.HSTACK(INDEX(_xlpm.pairs,,1),INDEX(_xlpm.pairs,,4))),_xlpm.sortedPairs,_xlfn._xlws.SORT(_xlpm.uniquePairs,1,1),IF(ROW()-1&lt;=ROWS(_xlpm.sortedPairs),INDEX(_xlpm.sortedPairs,ROW()-1,2),"")),"")</f>
        <v/>
      </c>
      <c r="N76" s="15">
        <f t="array" ref="N76">IF(OR(L76="",M76=""),"",IFERROR(INDEX($E$2:$E$391,MATCH(1,($A$2:$A$391=L76)*($D$2:$D$391=M76),0)),""))</f>
        <v/>
      </c>
      <c r="O76" s="69">
        <f>IF(OR(L76="",M76=""),"",SUMIFS($J$2:$J$391,$A$2:$A$391,L76,$D$2:$D$391,M76))</f>
        <v/>
      </c>
      <c r="P76" s="6" t="n"/>
    </row>
    <row r="77">
      <c r="A77" s="44" t="inlineStr">
        <is>
          <t>TIPA 312 MFG</t>
        </is>
      </c>
      <c r="B77" s="44" t="inlineStr">
        <is>
          <t xml:space="preserve">Ext. B </t>
        </is>
      </c>
      <c r="C77" s="43" t="n"/>
      <c r="D77" s="43">
        <f>IF(C77="","",IFERROR(_xlfn.XLOOKUP(C77,HELPER!$A$2:$A$76,HELPER!$B$2:$B$76,""),D77))</f>
        <v/>
      </c>
      <c r="E77" s="43">
        <f>IFERROR(_xlfn.XLOOKUP(D77,HELPER!$B:$B,HELPER!$C:$C,""),"")</f>
        <v/>
      </c>
      <c r="F77" s="42">
        <f>IFERROR(_xlfn.XLOOKUP(D77,HELPER!$B:$B,HELPER!$D:$D,""),"")</f>
        <v/>
      </c>
      <c r="G77" s="42" t="n">
        <v>24</v>
      </c>
      <c r="I77" s="63">
        <f>IF(AND(H77&lt;&gt;"",IFERROR(_xlfn.XLOOKUP(D77,HELPER!$B:$B,HELPER!$E:$E,""),"")=""),"Missing price",IFERROR(_xlfn.XLOOKUP(D77,HELPER!$B:$B,HELPER!$E:$E,"")," "))</f>
        <v/>
      </c>
      <c r="J77" s="72">
        <f>IFERROR(H77*(IF(G77=8,I77*HELPER!$G$2,BOM!I77*HELPER!$G$3))," ")</f>
        <v/>
      </c>
      <c r="K77" s="6" t="n"/>
      <c r="L77" s="14">
        <f t="array" ref="L77">IFERROR(_xlfn.LET(_xlpm.pairs,_xlfn._xlws.FILTER($A$2:$D$391,($A$2:$A$391&lt;&gt;"")*(TRIM($D$2:$D$391)&lt;&gt;"")),_xlpm.uniquePairs,_xlfn.UNIQUE(_xlfn.HSTACK(INDEX(_xlpm.pairs,,1),INDEX(_xlpm.pairs,,4))),_xlpm.sortedPairs,_xlfn._xlws.SORT(_xlpm.uniquePairs,1,1),IF(ROW()-1&lt;=ROWS(_xlpm.sortedPairs),INDEX(_xlpm.sortedPairs,ROW()-1,1),"")),"")</f>
        <v/>
      </c>
      <c r="M77" s="15">
        <f t="array" ref="M77">IFERROR(_xlfn.LET(_xlpm.pairs,_xlfn._xlws.FILTER($A$2:$D$391,($A$2:$A$391&lt;&gt;"")*(TRIM($D$2:$D$391)&lt;&gt;"")),_xlpm.uniquePairs,_xlfn.UNIQUE(_xlfn.HSTACK(INDEX(_xlpm.pairs,,1),INDEX(_xlpm.pairs,,4))),_xlpm.sortedPairs,_xlfn._xlws.SORT(_xlpm.uniquePairs,1,1),IF(ROW()-1&lt;=ROWS(_xlpm.sortedPairs),INDEX(_xlpm.sortedPairs,ROW()-1,2),"")),"")</f>
        <v/>
      </c>
      <c r="N77" s="15">
        <f t="array" ref="N77">IF(OR(L77="",M77=""),"",IFERROR(INDEX($E$2:$E$391,MATCH(1,($A$2:$A$391=L77)*($D$2:$D$391=M77),0)),""))</f>
        <v/>
      </c>
      <c r="O77" s="69">
        <f>IF(OR(L77="",M77=""),"",SUMIFS($J$2:$J$391,$A$2:$A$391,L77,$D$2:$D$391,M77))</f>
        <v/>
      </c>
      <c r="P77" s="6" t="n"/>
    </row>
    <row r="78">
      <c r="A78" s="44" t="inlineStr">
        <is>
          <t>TIPA 312 MFG</t>
        </is>
      </c>
      <c r="B78" s="44" t="inlineStr">
        <is>
          <t xml:space="preserve">Ext. B </t>
        </is>
      </c>
      <c r="C78" s="43" t="n"/>
      <c r="D78" s="43">
        <f>IF(C78="","",IFERROR(_xlfn.XLOOKUP(C78,HELPER!$A$2:$A$76,HELPER!$B$2:$B$76,""),D78))</f>
        <v/>
      </c>
      <c r="E78" s="43">
        <f>IFERROR(_xlfn.XLOOKUP(D78,HELPER!$B:$B,HELPER!$C:$C,""),"")</f>
        <v/>
      </c>
      <c r="F78" s="42">
        <f>IFERROR(_xlfn.XLOOKUP(D78,HELPER!$B:$B,HELPER!$D:$D,""),"")</f>
        <v/>
      </c>
      <c r="G78" s="42" t="n">
        <v>24</v>
      </c>
      <c r="I78" s="63">
        <f>IF(AND(H78&lt;&gt;"",IFERROR(_xlfn.XLOOKUP(D78,HELPER!$B:$B,HELPER!$E:$E,""),"")=""),"Missing price",IFERROR(_xlfn.XLOOKUP(D78,HELPER!$B:$B,HELPER!$E:$E,"")," "))</f>
        <v/>
      </c>
      <c r="J78" s="72">
        <f>IFERROR(H78*(IF(G78=8,I78*HELPER!$G$2,BOM!I78*HELPER!$G$3))," ")</f>
        <v/>
      </c>
      <c r="K78" s="6" t="n"/>
      <c r="L78" s="14">
        <f t="array" ref="L78">IFERROR(_xlfn.LET(_xlpm.pairs,_xlfn._xlws.FILTER($A$2:$D$391,($A$2:$A$391&lt;&gt;"")*(TRIM($D$2:$D$391)&lt;&gt;"")),_xlpm.uniquePairs,_xlfn.UNIQUE(_xlfn.HSTACK(INDEX(_xlpm.pairs,,1),INDEX(_xlpm.pairs,,4))),_xlpm.sortedPairs,_xlfn._xlws.SORT(_xlpm.uniquePairs,1,1),IF(ROW()-1&lt;=ROWS(_xlpm.sortedPairs),INDEX(_xlpm.sortedPairs,ROW()-1,1),"")),"")</f>
        <v/>
      </c>
      <c r="M78" s="15">
        <f t="array" ref="M78">IFERROR(_xlfn.LET(_xlpm.pairs,_xlfn._xlws.FILTER($A$2:$D$391,($A$2:$A$391&lt;&gt;"")*(TRIM($D$2:$D$391)&lt;&gt;"")),_xlpm.uniquePairs,_xlfn.UNIQUE(_xlfn.HSTACK(INDEX(_xlpm.pairs,,1),INDEX(_xlpm.pairs,,4))),_xlpm.sortedPairs,_xlfn._xlws.SORT(_xlpm.uniquePairs,1,1),IF(ROW()-1&lt;=ROWS(_xlpm.sortedPairs),INDEX(_xlpm.sortedPairs,ROW()-1,2),"")),"")</f>
        <v/>
      </c>
      <c r="N78" s="15">
        <f t="array" ref="N78">IF(OR(L78="",M78=""),"",IFERROR(INDEX($E$2:$E$391,MATCH(1,($A$2:$A$391=L78)*($D$2:$D$391=M78),0)),""))</f>
        <v/>
      </c>
      <c r="O78" s="69">
        <f>IF(OR(L78="",M78=""),"",SUMIFS($J$2:$J$391,$A$2:$A$391,L78,$D$2:$D$391,M78))</f>
        <v/>
      </c>
      <c r="P78" s="6" t="n"/>
    </row>
    <row r="79">
      <c r="A79" s="44" t="inlineStr">
        <is>
          <t>TIPA 312 MFG</t>
        </is>
      </c>
      <c r="B79" s="44" t="inlineStr">
        <is>
          <t xml:space="preserve">Ext. B </t>
        </is>
      </c>
      <c r="C79" s="43" t="inlineStr">
        <is>
          <t>PBAT</t>
        </is>
      </c>
      <c r="D79" s="43">
        <f>IF(C79="","",IFERROR(_xlfn.XLOOKUP(C79,HELPER!$A$2:$A$76,HELPER!$B$2:$B$76,""),D79))</f>
        <v/>
      </c>
      <c r="E79" s="43">
        <f>IFERROR(_xlfn.XLOOKUP(D79,HELPER!$B:$B,HELPER!$C:$C,""),"")</f>
        <v/>
      </c>
      <c r="F79" s="42">
        <f>IFERROR(_xlfn.XLOOKUP(D79,HELPER!$B:$B,HELPER!$D:$D,""),"")</f>
        <v/>
      </c>
      <c r="G79" s="42" t="n">
        <v>24</v>
      </c>
      <c r="H79" s="523" t="n">
        <v>0.985</v>
      </c>
      <c r="I79" s="63">
        <f>IF(AND(H79&lt;&gt;"",IFERROR(_xlfn.XLOOKUP(D79,HELPER!$B:$B,HELPER!$E:$E,""),"")=""),"Missing price",IFERROR(_xlfn.XLOOKUP(D79,HELPER!$B:$B,HELPER!$E:$E,"")," "))</f>
        <v/>
      </c>
      <c r="J79" s="72">
        <f>IFERROR(H79*(IF(G79=8,I79*HELPER!$G$2,BOM!I79*HELPER!$G$3))," ")</f>
        <v/>
      </c>
      <c r="K79" s="6" t="n"/>
      <c r="L79" s="14">
        <f t="array" ref="L79">IFERROR(_xlfn.LET(_xlpm.pairs,_xlfn._xlws.FILTER($A$2:$D$391,($A$2:$A$391&lt;&gt;"")*(TRIM($D$2:$D$391)&lt;&gt;"")),_xlpm.uniquePairs,_xlfn.UNIQUE(_xlfn.HSTACK(INDEX(_xlpm.pairs,,1),INDEX(_xlpm.pairs,,4))),_xlpm.sortedPairs,_xlfn._xlws.SORT(_xlpm.uniquePairs,1,1),IF(ROW()-1&lt;=ROWS(_xlpm.sortedPairs),INDEX(_xlpm.sortedPairs,ROW()-1,1),"")),"")</f>
        <v/>
      </c>
      <c r="M79" s="15">
        <f t="array" ref="M79">IFERROR(_xlfn.LET(_xlpm.pairs,_xlfn._xlws.FILTER($A$2:$D$391,($A$2:$A$391&lt;&gt;"")*(TRIM($D$2:$D$391)&lt;&gt;"")),_xlpm.uniquePairs,_xlfn.UNIQUE(_xlfn.HSTACK(INDEX(_xlpm.pairs,,1),INDEX(_xlpm.pairs,,4))),_xlpm.sortedPairs,_xlfn._xlws.SORT(_xlpm.uniquePairs,1,1),IF(ROW()-1&lt;=ROWS(_xlpm.sortedPairs),INDEX(_xlpm.sortedPairs,ROW()-1,2),"")),"")</f>
        <v/>
      </c>
      <c r="N79" s="15">
        <f t="array" ref="N79">IF(OR(L79="",M79=""),"",IFERROR(INDEX($E$2:$E$391,MATCH(1,($A$2:$A$391=L79)*($D$2:$D$391=M79),0)),""))</f>
        <v/>
      </c>
      <c r="O79" s="69">
        <f>IF(OR(L79="",M79=""),"",SUMIFS($J$2:$J$391,$A$2:$A$391,L79,$D$2:$D$391,M79))</f>
        <v/>
      </c>
      <c r="P79" s="6" t="n"/>
    </row>
    <row r="80">
      <c r="A80" s="44" t="inlineStr">
        <is>
          <t>TIPA 312 MFG</t>
        </is>
      </c>
      <c r="B80" s="44" t="inlineStr">
        <is>
          <t xml:space="preserve">Ext. B </t>
        </is>
      </c>
      <c r="C80" s="43" t="n"/>
      <c r="D80" s="43">
        <f>IF(C80="","",IFERROR(_xlfn.XLOOKUP(C80,HELPER!$A$2:$A$76,HELPER!$B$2:$B$76,""),D80))</f>
        <v/>
      </c>
      <c r="E80" s="43">
        <f>IFERROR(_xlfn.XLOOKUP(D80,HELPER!$B:$B,HELPER!$C:$C,""),"")</f>
        <v/>
      </c>
      <c r="F80" s="42">
        <f>IFERROR(_xlfn.XLOOKUP(D80,HELPER!$B:$B,HELPER!$D:$D,""),"")</f>
        <v/>
      </c>
      <c r="G80" s="42" t="n">
        <v>24</v>
      </c>
      <c r="I80" s="63">
        <f>IF(AND(H80&lt;&gt;"",IFERROR(_xlfn.XLOOKUP(D80,HELPER!$B:$B,HELPER!$E:$E,""),"")=""),"Missing price",IFERROR(_xlfn.XLOOKUP(D80,HELPER!$B:$B,HELPER!$E:$E,"")," "))</f>
        <v/>
      </c>
      <c r="J80" s="72">
        <f>IFERROR(H80*(IF(G80=8,I80*HELPER!$G$2,BOM!I80*HELPER!$G$3))," ")</f>
        <v/>
      </c>
      <c r="K80" s="6" t="n"/>
      <c r="L80" s="14">
        <f t="array" ref="L80">IFERROR(_xlfn.LET(_xlpm.pairs,_xlfn._xlws.FILTER($A$2:$D$391,($A$2:$A$391&lt;&gt;"")*(TRIM($D$2:$D$391)&lt;&gt;"")),_xlpm.uniquePairs,_xlfn.UNIQUE(_xlfn.HSTACK(INDEX(_xlpm.pairs,,1),INDEX(_xlpm.pairs,,4))),_xlpm.sortedPairs,_xlfn._xlws.SORT(_xlpm.uniquePairs,1,1),IF(ROW()-1&lt;=ROWS(_xlpm.sortedPairs),INDEX(_xlpm.sortedPairs,ROW()-1,1),"")),"")</f>
        <v/>
      </c>
      <c r="M80" s="15">
        <f t="array" ref="M80">IFERROR(_xlfn.LET(_xlpm.pairs,_xlfn._xlws.FILTER($A$2:$D$391,($A$2:$A$391&lt;&gt;"")*(TRIM($D$2:$D$391)&lt;&gt;"")),_xlpm.uniquePairs,_xlfn.UNIQUE(_xlfn.HSTACK(INDEX(_xlpm.pairs,,1),INDEX(_xlpm.pairs,,4))),_xlpm.sortedPairs,_xlfn._xlws.SORT(_xlpm.uniquePairs,1,1),IF(ROW()-1&lt;=ROWS(_xlpm.sortedPairs),INDEX(_xlpm.sortedPairs,ROW()-1,2),"")),"")</f>
        <v/>
      </c>
      <c r="N80" s="15">
        <f t="array" ref="N80">IF(OR(L80="",M80=""),"",IFERROR(INDEX($E$2:$E$391,MATCH(1,($A$2:$A$391=L80)*($D$2:$D$391=M80),0)),""))</f>
        <v/>
      </c>
      <c r="O80" s="69">
        <f>IF(OR(L80="",M80=""),"",SUMIFS($J$2:$J$391,$A$2:$A$391,L80,$D$2:$D$391,M80))</f>
        <v/>
      </c>
      <c r="P80" s="6" t="n"/>
    </row>
    <row r="81">
      <c r="A81" s="44" t="inlineStr">
        <is>
          <t>TIPA 312 MFG</t>
        </is>
      </c>
      <c r="B81" s="44" t="inlineStr">
        <is>
          <t xml:space="preserve">Ext. B </t>
        </is>
      </c>
      <c r="C81" s="43" t="n"/>
      <c r="D81" s="43">
        <f>IF(C81="","",IFERROR(_xlfn.XLOOKUP(C81,HELPER!$A$2:$A$76,HELPER!$B$2:$B$76,""),D81))</f>
        <v/>
      </c>
      <c r="E81" s="43">
        <f>IFERROR(_xlfn.XLOOKUP(D81,HELPER!$B:$B,HELPER!$C:$C,""),"")</f>
        <v/>
      </c>
      <c r="F81" s="42">
        <f>IFERROR(_xlfn.XLOOKUP(D81,HELPER!$B:$B,HELPER!$D:$D,""),"")</f>
        <v/>
      </c>
      <c r="G81" s="42" t="n">
        <v>24</v>
      </c>
      <c r="I81" s="63">
        <f>IF(AND(H81&lt;&gt;"",IFERROR(_xlfn.XLOOKUP(D81,HELPER!$B:$B,HELPER!$E:$E,""),"")=""),"Missing price",IFERROR(_xlfn.XLOOKUP(D81,HELPER!$B:$B,HELPER!$E:$E,"")," "))</f>
        <v/>
      </c>
      <c r="J81" s="72">
        <f>IFERROR(H81*(IF(G81=8,I81*HELPER!$G$2,BOM!I81*HELPER!$G$3))," ")</f>
        <v/>
      </c>
      <c r="K81" s="6" t="n"/>
      <c r="L81" s="14">
        <f t="array" ref="L81">IFERROR(_xlfn.LET(_xlpm.pairs,_xlfn._xlws.FILTER($A$2:$D$391,($A$2:$A$391&lt;&gt;"")*(TRIM($D$2:$D$391)&lt;&gt;"")),_xlpm.uniquePairs,_xlfn.UNIQUE(_xlfn.HSTACK(INDEX(_xlpm.pairs,,1),INDEX(_xlpm.pairs,,4))),_xlpm.sortedPairs,_xlfn._xlws.SORT(_xlpm.uniquePairs,1,1),IF(ROW()-1&lt;=ROWS(_xlpm.sortedPairs),INDEX(_xlpm.sortedPairs,ROW()-1,1),"")),"")</f>
        <v/>
      </c>
      <c r="M81" s="15">
        <f t="array" ref="M81">IFERROR(_xlfn.LET(_xlpm.pairs,_xlfn._xlws.FILTER($A$2:$D$391,($A$2:$A$391&lt;&gt;"")*(TRIM($D$2:$D$391)&lt;&gt;"")),_xlpm.uniquePairs,_xlfn.UNIQUE(_xlfn.HSTACK(INDEX(_xlpm.pairs,,1),INDEX(_xlpm.pairs,,4))),_xlpm.sortedPairs,_xlfn._xlws.SORT(_xlpm.uniquePairs,1,1),IF(ROW()-1&lt;=ROWS(_xlpm.sortedPairs),INDEX(_xlpm.sortedPairs,ROW()-1,2),"")),"")</f>
        <v/>
      </c>
      <c r="N81" s="15">
        <f t="array" ref="N81">IF(OR(L81="",M81=""),"",IFERROR(INDEX($E$2:$E$391,MATCH(1,($A$2:$A$391=L81)*($D$2:$D$391=M81),0)),""))</f>
        <v/>
      </c>
      <c r="O81" s="69">
        <f>IF(OR(L81="",M81=""),"",SUMIFS($J$2:$J$391,$A$2:$A$391,L81,$D$2:$D$391,M81))</f>
        <v/>
      </c>
      <c r="P81" s="6" t="n"/>
    </row>
    <row r="82">
      <c r="A82" s="44" t="inlineStr">
        <is>
          <t>TIPA 312 MFG</t>
        </is>
      </c>
      <c r="B82" s="44" t="inlineStr">
        <is>
          <t>Ext. C (In)</t>
        </is>
      </c>
      <c r="C82" s="43" t="inlineStr">
        <is>
          <t>PBSA</t>
        </is>
      </c>
      <c r="D82" s="43">
        <f>IF(C82="","",IFERROR(_xlfn.XLOOKUP(C82,HELPER!$A$2:$A$76,HELPER!$B$2:$B$76,""),D82))</f>
        <v/>
      </c>
      <c r="E82" s="43">
        <f>IFERROR(_xlfn.XLOOKUP(D82,HELPER!$B:$B,HELPER!$C:$C,""),"")</f>
        <v/>
      </c>
      <c r="F82" s="42">
        <f>IFERROR(_xlfn.XLOOKUP(D82,HELPER!$B:$B,HELPER!$D:$D,""),"")</f>
        <v/>
      </c>
      <c r="G82" s="42" t="n">
        <v>8</v>
      </c>
      <c r="H82" s="523" t="n">
        <v>0.805</v>
      </c>
      <c r="I82" s="63">
        <f>IF(AND(H82&lt;&gt;"",IFERROR(_xlfn.XLOOKUP(D82,HELPER!$B:$B,HELPER!$E:$E,""),"")=""),"Missing price",IFERROR(_xlfn.XLOOKUP(D82,HELPER!$B:$B,HELPER!$E:$E,"")," "))</f>
        <v/>
      </c>
      <c r="J82" s="72">
        <f>IFERROR(H82*(IF(G82=8,I82*HELPER!$G$2,BOM!I82*HELPER!$G$3))," ")</f>
        <v/>
      </c>
      <c r="K82" s="6" t="n"/>
      <c r="L82" s="14">
        <f t="array" ref="L82">IFERROR(_xlfn.LET(_xlpm.pairs,_xlfn._xlws.FILTER($A$2:$D$391,($A$2:$A$391&lt;&gt;"")*(TRIM($D$2:$D$391)&lt;&gt;"")),_xlpm.uniquePairs,_xlfn.UNIQUE(_xlfn.HSTACK(INDEX(_xlpm.pairs,,1),INDEX(_xlpm.pairs,,4))),_xlpm.sortedPairs,_xlfn._xlws.SORT(_xlpm.uniquePairs,1,1),IF(ROW()-1&lt;=ROWS(_xlpm.sortedPairs),INDEX(_xlpm.sortedPairs,ROW()-1,1),"")),"")</f>
        <v/>
      </c>
      <c r="M82" s="15">
        <f t="array" ref="M82">IFERROR(_xlfn.LET(_xlpm.pairs,_xlfn._xlws.FILTER($A$2:$D$391,($A$2:$A$391&lt;&gt;"")*(TRIM($D$2:$D$391)&lt;&gt;"")),_xlpm.uniquePairs,_xlfn.UNIQUE(_xlfn.HSTACK(INDEX(_xlpm.pairs,,1),INDEX(_xlpm.pairs,,4))),_xlpm.sortedPairs,_xlfn._xlws.SORT(_xlpm.uniquePairs,1,1),IF(ROW()-1&lt;=ROWS(_xlpm.sortedPairs),INDEX(_xlpm.sortedPairs,ROW()-1,2),"")),"")</f>
        <v/>
      </c>
      <c r="N82" s="15">
        <f t="array" ref="N82">IF(OR(L82="",M82=""),"",IFERROR(INDEX($E$2:$E$391,MATCH(1,($A$2:$A$391=L82)*($D$2:$D$391=M82),0)),""))</f>
        <v/>
      </c>
      <c r="O82" s="69">
        <f>IF(OR(L82="",M82=""),"",SUMIFS($J$2:$J$391,$A$2:$A$391,L82,$D$2:$D$391,M82))</f>
        <v/>
      </c>
      <c r="P82" s="6" t="n"/>
    </row>
    <row r="83">
      <c r="A83" s="44" t="inlineStr">
        <is>
          <t>TIPA 312 MFG</t>
        </is>
      </c>
      <c r="B83" s="44" t="inlineStr">
        <is>
          <t>Ext. C (In)</t>
        </is>
      </c>
      <c r="C83" s="43" t="inlineStr">
        <is>
          <t>PLA</t>
        </is>
      </c>
      <c r="D83" s="43">
        <f>IF(C83="","",IFERROR(_xlfn.XLOOKUP(C83,HELPER!$A$2:$A$76,HELPER!$B$2:$B$76,""),D83))</f>
        <v/>
      </c>
      <c r="E83" s="43">
        <f>IFERROR(_xlfn.XLOOKUP(D83,HELPER!$B:$B,HELPER!$C:$C,""),"")</f>
        <v/>
      </c>
      <c r="F83" s="42">
        <f>IFERROR(_xlfn.XLOOKUP(D83,HELPER!$B:$B,HELPER!$D:$D,""),"")</f>
        <v/>
      </c>
      <c r="G83" s="42" t="n">
        <v>8</v>
      </c>
      <c r="H83" s="523" t="n">
        <v>0.142</v>
      </c>
      <c r="I83" s="63">
        <f>IF(AND(H83&lt;&gt;"",IFERROR(_xlfn.XLOOKUP(D83,HELPER!$B:$B,HELPER!$E:$E,""),"")=""),"Missing price",IFERROR(_xlfn.XLOOKUP(D83,HELPER!$B:$B,HELPER!$E:$E,"")," "))</f>
        <v/>
      </c>
      <c r="J83" s="72">
        <f>IFERROR(H83*(IF(G83=8,I83*HELPER!$G$2,BOM!I83*HELPER!$G$3))," ")</f>
        <v/>
      </c>
      <c r="K83" s="6" t="n"/>
      <c r="L83" s="14">
        <f t="array" ref="L83">IFERROR(_xlfn.LET(_xlpm.pairs,_xlfn._xlws.FILTER($A$2:$D$391,($A$2:$A$391&lt;&gt;"")*(TRIM($D$2:$D$391)&lt;&gt;"")),_xlpm.uniquePairs,_xlfn.UNIQUE(_xlfn.HSTACK(INDEX(_xlpm.pairs,,1),INDEX(_xlpm.pairs,,4))),_xlpm.sortedPairs,_xlfn._xlws.SORT(_xlpm.uniquePairs,1,1),IF(ROW()-1&lt;=ROWS(_xlpm.sortedPairs),INDEX(_xlpm.sortedPairs,ROW()-1,1),"")),"")</f>
        <v/>
      </c>
      <c r="M83" s="15">
        <f t="array" ref="M83">IFERROR(_xlfn.LET(_xlpm.pairs,_xlfn._xlws.FILTER($A$2:$D$391,($A$2:$A$391&lt;&gt;"")*(TRIM($D$2:$D$391)&lt;&gt;"")),_xlpm.uniquePairs,_xlfn.UNIQUE(_xlfn.HSTACK(INDEX(_xlpm.pairs,,1),INDEX(_xlpm.pairs,,4))),_xlpm.sortedPairs,_xlfn._xlws.SORT(_xlpm.uniquePairs,1,1),IF(ROW()-1&lt;=ROWS(_xlpm.sortedPairs),INDEX(_xlpm.sortedPairs,ROW()-1,2),"")),"")</f>
        <v/>
      </c>
      <c r="N83" s="15">
        <f t="array" ref="N83">IF(OR(L83="",M83=""),"",IFERROR(INDEX($E$2:$E$391,MATCH(1,($A$2:$A$391=L83)*($D$2:$D$391=M83),0)),""))</f>
        <v/>
      </c>
      <c r="O83" s="69">
        <f>IF(OR(L83="",M83=""),"",SUMIFS($J$2:$J$391,$A$2:$A$391,L83,$D$2:$D$391,M83))</f>
        <v/>
      </c>
      <c r="P83" s="6" t="n"/>
    </row>
    <row r="84">
      <c r="A84" s="44" t="inlineStr">
        <is>
          <t>TIPA 312 MFG</t>
        </is>
      </c>
      <c r="B84" s="44" t="inlineStr">
        <is>
          <t>Ext. C (In)</t>
        </is>
      </c>
      <c r="C84" s="43" t="inlineStr">
        <is>
          <t>AB-PLA</t>
        </is>
      </c>
      <c r="D84" s="43">
        <f>IF(C84="","",IFERROR(_xlfn.XLOOKUP(C84,HELPER!$A$2:$A$76,HELPER!$B$2:$B$76,""),D84))</f>
        <v/>
      </c>
      <c r="E84" s="43">
        <f>IFERROR(_xlfn.XLOOKUP(D84,HELPER!$B:$B,HELPER!$C:$C,""),"")</f>
        <v/>
      </c>
      <c r="F84" s="42">
        <f>IFERROR(_xlfn.XLOOKUP(D84,HELPER!$B:$B,HELPER!$D:$D,""),"")</f>
        <v/>
      </c>
      <c r="G84" s="42" t="n">
        <v>8</v>
      </c>
      <c r="H84" s="523" t="n">
        <v>0.015</v>
      </c>
      <c r="I84" s="63">
        <f>IF(AND(H84&lt;&gt;"",IFERROR(_xlfn.XLOOKUP(D84,HELPER!$B:$B,HELPER!$E:$E,""),"")=""),"Missing price",IFERROR(_xlfn.XLOOKUP(D84,HELPER!$B:$B,HELPER!$E:$E,"")," "))</f>
        <v/>
      </c>
      <c r="J84" s="72">
        <f>IFERROR(H84*(IF(G84=8,I84*HELPER!$G$2,BOM!I84*HELPER!$G$3))," ")</f>
        <v/>
      </c>
      <c r="K84" s="6" t="n"/>
      <c r="L84" s="14">
        <f t="array" ref="L84">IFERROR(_xlfn.LET(_xlpm.pairs,_xlfn._xlws.FILTER($A$2:$D$391,($A$2:$A$391&lt;&gt;"")*(TRIM($D$2:$D$391)&lt;&gt;"")),_xlpm.uniquePairs,_xlfn.UNIQUE(_xlfn.HSTACK(INDEX(_xlpm.pairs,,1),INDEX(_xlpm.pairs,,4))),_xlpm.sortedPairs,_xlfn._xlws.SORT(_xlpm.uniquePairs,1,1),IF(ROW()-1&lt;=ROWS(_xlpm.sortedPairs),INDEX(_xlpm.sortedPairs,ROW()-1,1),"")),"")</f>
        <v/>
      </c>
      <c r="M84" s="15">
        <f t="array" ref="M84">IFERROR(_xlfn.LET(_xlpm.pairs,_xlfn._xlws.FILTER($A$2:$D$391,($A$2:$A$391&lt;&gt;"")*(TRIM($D$2:$D$391)&lt;&gt;"")),_xlpm.uniquePairs,_xlfn.UNIQUE(_xlfn.HSTACK(INDEX(_xlpm.pairs,,1),INDEX(_xlpm.pairs,,4))),_xlpm.sortedPairs,_xlfn._xlws.SORT(_xlpm.uniquePairs,1,1),IF(ROW()-1&lt;=ROWS(_xlpm.sortedPairs),INDEX(_xlpm.sortedPairs,ROW()-1,2),"")),"")</f>
        <v/>
      </c>
      <c r="N84" s="15">
        <f t="array" ref="N84">IF(OR(L84="",M84=""),"",IFERROR(INDEX($E$2:$E$391,MATCH(1,($A$2:$A$391=L84)*($D$2:$D$391=M84),0)),""))</f>
        <v/>
      </c>
      <c r="O84" s="69">
        <f>IF(OR(L84="",M84=""),"",SUMIFS($J$2:$J$391,$A$2:$A$391,L84,$D$2:$D$391,M84))</f>
        <v/>
      </c>
      <c r="P84" s="6" t="n"/>
    </row>
    <row r="85">
      <c r="A85" s="44" t="inlineStr">
        <is>
          <t>TIPA 312 MFG</t>
        </is>
      </c>
      <c r="B85" s="44" t="inlineStr">
        <is>
          <t>Ext. C (In)</t>
        </is>
      </c>
      <c r="C85" s="43" t="inlineStr">
        <is>
          <t>AO-PBS</t>
        </is>
      </c>
      <c r="D85" s="43">
        <f>IF(C85="","",IFERROR(_xlfn.XLOOKUP(C85,HELPER!$A$2:$A$76,HELPER!$B$2:$B$76,""),D85))</f>
        <v/>
      </c>
      <c r="E85" s="43">
        <f>IFERROR(_xlfn.XLOOKUP(D85,HELPER!$B:$B,HELPER!$C:$C,""),"")</f>
        <v/>
      </c>
      <c r="F85" s="42">
        <f>IFERROR(_xlfn.XLOOKUP(D85,HELPER!$B:$B,HELPER!$D:$D,""),"")</f>
        <v/>
      </c>
      <c r="G85" s="42" t="n">
        <v>8</v>
      </c>
      <c r="H85" s="523" t="n">
        <v>0.015</v>
      </c>
      <c r="I85" s="63">
        <f>IF(AND(H85&lt;&gt;"",IFERROR(_xlfn.XLOOKUP(D85,HELPER!$B:$B,HELPER!$E:$E,""),"")=""),"Missing price",IFERROR(_xlfn.XLOOKUP(D85,HELPER!$B:$B,HELPER!$E:$E,"")," "))</f>
        <v/>
      </c>
      <c r="J85" s="72">
        <f>IFERROR(H85*(IF(G85=8,I85*HELPER!$G$2,BOM!I85*HELPER!$G$3))," ")</f>
        <v/>
      </c>
      <c r="K85" s="6" t="n"/>
      <c r="L85" s="14">
        <f t="array" ref="L85">IFERROR(_xlfn.LET(_xlpm.pairs,_xlfn._xlws.FILTER($A$2:$D$391,($A$2:$A$391&lt;&gt;"")*(TRIM($D$2:$D$391)&lt;&gt;"")),_xlpm.uniquePairs,_xlfn.UNIQUE(_xlfn.HSTACK(INDEX(_xlpm.pairs,,1),INDEX(_xlpm.pairs,,4))),_xlpm.sortedPairs,_xlfn._xlws.SORT(_xlpm.uniquePairs,1,1),IF(ROW()-1&lt;=ROWS(_xlpm.sortedPairs),INDEX(_xlpm.sortedPairs,ROW()-1,1),"")),"")</f>
        <v/>
      </c>
      <c r="M85" s="15">
        <f t="array" ref="M85">IFERROR(_xlfn.LET(_xlpm.pairs,_xlfn._xlws.FILTER($A$2:$D$391,($A$2:$A$391&lt;&gt;"")*(TRIM($D$2:$D$391)&lt;&gt;"")),_xlpm.uniquePairs,_xlfn.UNIQUE(_xlfn.HSTACK(INDEX(_xlpm.pairs,,1),INDEX(_xlpm.pairs,,4))),_xlpm.sortedPairs,_xlfn._xlws.SORT(_xlpm.uniquePairs,1,1),IF(ROW()-1&lt;=ROWS(_xlpm.sortedPairs),INDEX(_xlpm.sortedPairs,ROW()-1,2),"")),"")</f>
        <v/>
      </c>
      <c r="N85" s="15">
        <f t="array" ref="N85">IF(OR(L85="",M85=""),"",IFERROR(INDEX($E$2:$E$391,MATCH(1,($A$2:$A$391=L85)*($D$2:$D$391=M85),0)),""))</f>
        <v/>
      </c>
      <c r="O85" s="69">
        <f>IF(OR(L85="",M85=""),"",SUMIFS($J$2:$J$391,$A$2:$A$391,L85,$D$2:$D$391,M85))</f>
        <v/>
      </c>
      <c r="P85" s="6" t="n"/>
    </row>
    <row r="86">
      <c r="A86" s="44" t="inlineStr">
        <is>
          <t>TIPA 312 MFG</t>
        </is>
      </c>
      <c r="B86" s="44" t="inlineStr">
        <is>
          <t>Ext. C (In)</t>
        </is>
      </c>
      <c r="C86" s="43" t="inlineStr">
        <is>
          <t>SLAB-PBSA</t>
        </is>
      </c>
      <c r="D86" s="43">
        <f>IF(C86="","",IFERROR(_xlfn.XLOOKUP(C86,HELPER!$A$2:$A$76,HELPER!$B$2:$B$76,""),D86))</f>
        <v/>
      </c>
      <c r="E86" s="43">
        <f>IFERROR(_xlfn.XLOOKUP(D86,HELPER!$B:$B,HELPER!$C:$C,""),"")</f>
        <v/>
      </c>
      <c r="F86" s="42">
        <f>IFERROR(_xlfn.XLOOKUP(D86,HELPER!$B:$B,HELPER!$D:$D,""),"")</f>
        <v/>
      </c>
      <c r="G86" s="42" t="n">
        <v>8</v>
      </c>
      <c r="H86" s="523" t="n">
        <v>0.023</v>
      </c>
      <c r="I86" s="63">
        <f>IF(AND(H86&lt;&gt;"",IFERROR(_xlfn.XLOOKUP(D86,HELPER!$B:$B,HELPER!$E:$E,""),"")=""),"Missing price",IFERROR(_xlfn.XLOOKUP(D86,HELPER!$B:$B,HELPER!$E:$E,"")," "))</f>
        <v/>
      </c>
      <c r="J86" s="72">
        <f>IFERROR(H86*(IF(G86=8,I86*HELPER!$G$2,BOM!I86*HELPER!$G$3))," ")</f>
        <v/>
      </c>
      <c r="K86" s="6" t="n"/>
      <c r="L86" s="14">
        <f t="array" ref="L86">IFERROR(_xlfn.LET(_xlpm.pairs,_xlfn._xlws.FILTER($A$2:$D$391,($A$2:$A$391&lt;&gt;"")*(TRIM($D$2:$D$391)&lt;&gt;"")),_xlpm.uniquePairs,_xlfn.UNIQUE(_xlfn.HSTACK(INDEX(_xlpm.pairs,,1),INDEX(_xlpm.pairs,,4))),_xlpm.sortedPairs,_xlfn._xlws.SORT(_xlpm.uniquePairs,1,1),IF(ROW()-1&lt;=ROWS(_xlpm.sortedPairs),INDEX(_xlpm.sortedPairs,ROW()-1,1),"")),"")</f>
        <v/>
      </c>
      <c r="M86" s="15">
        <f t="array" ref="M86">IFERROR(_xlfn.LET(_xlpm.pairs,_xlfn._xlws.FILTER($A$2:$D$391,($A$2:$A$391&lt;&gt;"")*(TRIM($D$2:$D$391)&lt;&gt;"")),_xlpm.uniquePairs,_xlfn.UNIQUE(_xlfn.HSTACK(INDEX(_xlpm.pairs,,1),INDEX(_xlpm.pairs,,4))),_xlpm.sortedPairs,_xlfn._xlws.SORT(_xlpm.uniquePairs,1,1),IF(ROW()-1&lt;=ROWS(_xlpm.sortedPairs),INDEX(_xlpm.sortedPairs,ROW()-1,2),"")),"")</f>
        <v/>
      </c>
      <c r="N86" s="15">
        <f t="array" ref="N86">IF(OR(L86="",M86=""),"",IFERROR(INDEX($E$2:$E$391,MATCH(1,($A$2:$A$391=L86)*($D$2:$D$391=M86),0)),""))</f>
        <v/>
      </c>
      <c r="O86" s="69">
        <f>IF(OR(L86="",M86=""),"",SUMIFS($J$2:$J$391,$A$2:$A$391,L86,$D$2:$D$391,M86))</f>
        <v/>
      </c>
      <c r="P86" s="6" t="n"/>
    </row>
    <row r="87">
      <c r="A87" s="44" t="inlineStr">
        <is>
          <t>TIPA 312 MFG</t>
        </is>
      </c>
      <c r="B87" s="44" t="inlineStr">
        <is>
          <t>Ext. C (In)</t>
        </is>
      </c>
      <c r="C87" s="43" t="n"/>
      <c r="D87" s="43">
        <f>IF(C87="","",IFERROR(_xlfn.XLOOKUP(C87,HELPER!$A$2:$A$76,HELPER!$B$2:$B$76,""),D87))</f>
        <v/>
      </c>
      <c r="E87" s="43">
        <f>IFERROR(_xlfn.XLOOKUP(D87,HELPER!$B:$B,HELPER!$C:$C,""),"")</f>
        <v/>
      </c>
      <c r="F87" s="42">
        <f>IFERROR(_xlfn.XLOOKUP(D87,HELPER!$B:$B,HELPER!$D:$D,""),"")</f>
        <v/>
      </c>
      <c r="G87" s="42" t="n">
        <v>8</v>
      </c>
      <c r="I87" s="63">
        <f>IF(AND(H87&lt;&gt;"",IFERROR(_xlfn.XLOOKUP(D87,HELPER!$B:$B,HELPER!$E:$E,""),"")=""),"Missing price",IFERROR(_xlfn.XLOOKUP(D87,HELPER!$B:$B,HELPER!$E:$E,"")," "))</f>
        <v/>
      </c>
      <c r="J87" s="72">
        <f>IFERROR(H87*(IF(G87=8,I87*HELPER!$G$2,BOM!I87*HELPER!$G$3))," ")</f>
        <v/>
      </c>
      <c r="K87" s="6" t="n"/>
      <c r="L87" s="14">
        <f t="array" ref="L87">IFERROR(_xlfn.LET(_xlpm.pairs,_xlfn._xlws.FILTER($A$2:$D$391,($A$2:$A$391&lt;&gt;"")*(TRIM($D$2:$D$391)&lt;&gt;"")),_xlpm.uniquePairs,_xlfn.UNIQUE(_xlfn.HSTACK(INDEX(_xlpm.pairs,,1),INDEX(_xlpm.pairs,,4))),_xlpm.sortedPairs,_xlfn._xlws.SORT(_xlpm.uniquePairs,1,1),IF(ROW()-1&lt;=ROWS(_xlpm.sortedPairs),INDEX(_xlpm.sortedPairs,ROW()-1,1),"")),"")</f>
        <v/>
      </c>
      <c r="M87" s="15">
        <f t="array" ref="M87">IFERROR(_xlfn.LET(_xlpm.pairs,_xlfn._xlws.FILTER($A$2:$D$391,($A$2:$A$391&lt;&gt;"")*(TRIM($D$2:$D$391)&lt;&gt;"")),_xlpm.uniquePairs,_xlfn.UNIQUE(_xlfn.HSTACK(INDEX(_xlpm.pairs,,1),INDEX(_xlpm.pairs,,4))),_xlpm.sortedPairs,_xlfn._xlws.SORT(_xlpm.uniquePairs,1,1),IF(ROW()-1&lt;=ROWS(_xlpm.sortedPairs),INDEX(_xlpm.sortedPairs,ROW()-1,2),"")),"")</f>
        <v/>
      </c>
      <c r="N87" s="15">
        <f t="array" ref="N87">IF(OR(L87="",M87=""),"",IFERROR(INDEX($E$2:$E$391,MATCH(1,($A$2:$A$391=L87)*($D$2:$D$391=M87),0)),""))</f>
        <v/>
      </c>
      <c r="O87" s="69">
        <f>IF(OR(L87="",M87=""),"",SUMIFS($J$2:$J$391,$A$2:$A$391,L87,$D$2:$D$391,M87))</f>
        <v/>
      </c>
      <c r="P87" s="6" t="n"/>
    </row>
    <row r="88">
      <c r="A88" s="44" t="inlineStr">
        <is>
          <t>TIPA 312 MFG</t>
        </is>
      </c>
      <c r="B88" s="44" t="inlineStr">
        <is>
          <t>Ext. C (In)</t>
        </is>
      </c>
      <c r="C88" s="43" t="n"/>
      <c r="D88" s="43">
        <f>IF(C88="","",IFERROR(_xlfn.XLOOKUP(C88,HELPER!$A$2:$A$76,HELPER!$B$2:$B$76,""),D88))</f>
        <v/>
      </c>
      <c r="E88" s="43">
        <f>IFERROR(_xlfn.XLOOKUP(D88,HELPER!$B:$B,HELPER!$C:$C,""),"")</f>
        <v/>
      </c>
      <c r="F88" s="42">
        <f>IFERROR(_xlfn.XLOOKUP(D88,HELPER!$B:$B,HELPER!$D:$D,""),"")</f>
        <v/>
      </c>
      <c r="G88" s="42" t="n">
        <v>8</v>
      </c>
      <c r="I88" s="63">
        <f>IF(AND(H88&lt;&gt;"",IFERROR(_xlfn.XLOOKUP(D88,HELPER!$B:$B,HELPER!$E:$E,""),"")=""),"Missing price",IFERROR(_xlfn.XLOOKUP(D88,HELPER!$B:$B,HELPER!$E:$E,"")," "))</f>
        <v/>
      </c>
      <c r="J88" s="72">
        <f>IFERROR(H88*(IF(G88=8,I88*HELPER!$G$2,BOM!I88*HELPER!$G$3))," ")</f>
        <v/>
      </c>
      <c r="K88" s="6" t="n"/>
      <c r="L88" s="14">
        <f t="array" ref="L88">IFERROR(_xlfn.LET(_xlpm.pairs,_xlfn._xlws.FILTER($A$2:$D$391,($A$2:$A$391&lt;&gt;"")*(TRIM($D$2:$D$391)&lt;&gt;"")),_xlpm.uniquePairs,_xlfn.UNIQUE(_xlfn.HSTACK(INDEX(_xlpm.pairs,,1),INDEX(_xlpm.pairs,,4))),_xlpm.sortedPairs,_xlfn._xlws.SORT(_xlpm.uniquePairs,1,1),IF(ROW()-1&lt;=ROWS(_xlpm.sortedPairs),INDEX(_xlpm.sortedPairs,ROW()-1,1),"")),"")</f>
        <v/>
      </c>
      <c r="M88" s="15">
        <f t="array" ref="M88">IFERROR(_xlfn.LET(_xlpm.pairs,_xlfn._xlws.FILTER($A$2:$D$391,($A$2:$A$391&lt;&gt;"")*(TRIM($D$2:$D$391)&lt;&gt;"")),_xlpm.uniquePairs,_xlfn.UNIQUE(_xlfn.HSTACK(INDEX(_xlpm.pairs,,1),INDEX(_xlpm.pairs,,4))),_xlpm.sortedPairs,_xlfn._xlws.SORT(_xlpm.uniquePairs,1,1),IF(ROW()-1&lt;=ROWS(_xlpm.sortedPairs),INDEX(_xlpm.sortedPairs,ROW()-1,2),"")),"")</f>
        <v/>
      </c>
      <c r="N88" s="15">
        <f t="array" ref="N88">IF(OR(L88="",M88=""),"",IFERROR(INDEX($E$2:$E$391,MATCH(1,($A$2:$A$391=L88)*($D$2:$D$391=M88),0)),""))</f>
        <v/>
      </c>
      <c r="O88" s="69">
        <f>IF(OR(L88="",M88=""),"",SUMIFS($J$2:$J$391,$A$2:$A$391,L88,$D$2:$D$391,M88))</f>
        <v/>
      </c>
      <c r="P88" s="6" t="n"/>
    </row>
    <row r="89">
      <c r="A89" s="44" t="inlineStr">
        <is>
          <t>TIPA 312 MFG</t>
        </is>
      </c>
      <c r="B89" s="44" t="inlineStr">
        <is>
          <t>Ext. C (In)</t>
        </is>
      </c>
      <c r="C89" s="43" t="n"/>
      <c r="D89" s="43">
        <f>IF(C89="","",IFERROR(_xlfn.XLOOKUP(C89,HELPER!$A$2:$A$76,HELPER!$B$2:$B$76,""),D89))</f>
        <v/>
      </c>
      <c r="E89" s="43">
        <f>IFERROR(_xlfn.XLOOKUP(D89,HELPER!$B:$B,HELPER!$C:$C,""),"")</f>
        <v/>
      </c>
      <c r="F89" s="42">
        <f>IFERROR(_xlfn.XLOOKUP(D89,HELPER!$B:$B,HELPER!$D:$D,""),"")</f>
        <v/>
      </c>
      <c r="G89" s="42" t="n">
        <v>8</v>
      </c>
      <c r="I89" s="63">
        <f>IF(AND(H89&lt;&gt;"",IFERROR(_xlfn.XLOOKUP(D89,HELPER!$B:$B,HELPER!$E:$E,""),"")=""),"Missing price",IFERROR(_xlfn.XLOOKUP(D89,HELPER!$B:$B,HELPER!$E:$E,"")," "))</f>
        <v/>
      </c>
      <c r="J89" s="72">
        <f>IFERROR(H89*(IF(G89=8,I89*HELPER!$G$2,BOM!I89*HELPER!$G$3))," ")</f>
        <v/>
      </c>
      <c r="K89" s="6" t="n"/>
      <c r="L89" s="14">
        <f t="array" ref="L89">IFERROR(_xlfn.LET(_xlpm.pairs,_xlfn._xlws.FILTER($A$2:$D$391,($A$2:$A$391&lt;&gt;"")*(TRIM($D$2:$D$391)&lt;&gt;"")),_xlpm.uniquePairs,_xlfn.UNIQUE(_xlfn.HSTACK(INDEX(_xlpm.pairs,,1),INDEX(_xlpm.pairs,,4))),_xlpm.sortedPairs,_xlfn._xlws.SORT(_xlpm.uniquePairs,1,1),IF(ROW()-1&lt;=ROWS(_xlpm.sortedPairs),INDEX(_xlpm.sortedPairs,ROW()-1,1),"")),"")</f>
        <v/>
      </c>
      <c r="M89" s="15">
        <f t="array" ref="M89">IFERROR(_xlfn.LET(_xlpm.pairs,_xlfn._xlws.FILTER($A$2:$D$391,($A$2:$A$391&lt;&gt;"")*(TRIM($D$2:$D$391)&lt;&gt;"")),_xlpm.uniquePairs,_xlfn.UNIQUE(_xlfn.HSTACK(INDEX(_xlpm.pairs,,1),INDEX(_xlpm.pairs,,4))),_xlpm.sortedPairs,_xlfn._xlws.SORT(_xlpm.uniquePairs,1,1),IF(ROW()-1&lt;=ROWS(_xlpm.sortedPairs),INDEX(_xlpm.sortedPairs,ROW()-1,2),"")),"")</f>
        <v/>
      </c>
      <c r="N89" s="15">
        <f t="array" ref="N89">IF(OR(L89="",M89=""),"",IFERROR(INDEX($E$2:$E$391,MATCH(1,($A$2:$A$391=L89)*($D$2:$D$391=M89),0)),""))</f>
        <v/>
      </c>
      <c r="O89" s="69">
        <f>IF(OR(L89="",M89=""),"",SUMIFS($J$2:$J$391,$A$2:$A$391,L89,$D$2:$D$391,M89))</f>
        <v/>
      </c>
      <c r="P89" s="6" t="n"/>
    </row>
    <row r="90">
      <c r="A90" s="44" t="inlineStr">
        <is>
          <t>TIPA 312 MFG</t>
        </is>
      </c>
      <c r="B90" s="44" t="inlineStr">
        <is>
          <t>Ext. C (In)</t>
        </is>
      </c>
      <c r="C90" s="43" t="n"/>
      <c r="D90" s="43">
        <f>IF(C90="","",IFERROR(_xlfn.XLOOKUP(C90,HELPER!$A$2:$A$76,HELPER!$B$2:$B$76,""),D90))</f>
        <v/>
      </c>
      <c r="E90" s="43">
        <f>IFERROR(_xlfn.XLOOKUP(D90,HELPER!$B:$B,HELPER!$C:$C,""),"")</f>
        <v/>
      </c>
      <c r="F90" s="42">
        <f>IFERROR(_xlfn.XLOOKUP(D90,HELPER!$B:$B,HELPER!$D:$D,""),"")</f>
        <v/>
      </c>
      <c r="G90" s="42" t="n">
        <v>8</v>
      </c>
      <c r="I90" s="63">
        <f>IF(AND(H90&lt;&gt;"",IFERROR(_xlfn.XLOOKUP(D90,HELPER!$B:$B,HELPER!$E:$E,""),"")=""),"Missing price",IFERROR(_xlfn.XLOOKUP(D90,HELPER!$B:$B,HELPER!$E:$E,"")," "))</f>
        <v/>
      </c>
      <c r="J90" s="72">
        <f>IFERROR(H90*(IF(G90=8,I90*HELPER!$G$2,BOM!I90*HELPER!$G$3))," ")</f>
        <v/>
      </c>
      <c r="K90" s="6" t="n"/>
      <c r="L90" s="14">
        <f t="array" ref="L90">IFERROR(_xlfn.LET(_xlpm.pairs,_xlfn._xlws.FILTER($A$2:$D$391,($A$2:$A$391&lt;&gt;"")*(TRIM($D$2:$D$391)&lt;&gt;"")),_xlpm.uniquePairs,_xlfn.UNIQUE(_xlfn.HSTACK(INDEX(_xlpm.pairs,,1),INDEX(_xlpm.pairs,,4))),_xlpm.sortedPairs,_xlfn._xlws.SORT(_xlpm.uniquePairs,1,1),IF(ROW()-1&lt;=ROWS(_xlpm.sortedPairs),INDEX(_xlpm.sortedPairs,ROW()-1,1),"")),"")</f>
        <v/>
      </c>
      <c r="M90" s="15">
        <f t="array" ref="M90">IFERROR(_xlfn.LET(_xlpm.pairs,_xlfn._xlws.FILTER($A$2:$D$391,($A$2:$A$391&lt;&gt;"")*(TRIM($D$2:$D$391)&lt;&gt;"")),_xlpm.uniquePairs,_xlfn.UNIQUE(_xlfn.HSTACK(INDEX(_xlpm.pairs,,1),INDEX(_xlpm.pairs,,4))),_xlpm.sortedPairs,_xlfn._xlws.SORT(_xlpm.uniquePairs,1,1),IF(ROW()-1&lt;=ROWS(_xlpm.sortedPairs),INDEX(_xlpm.sortedPairs,ROW()-1,2),"")),"")</f>
        <v/>
      </c>
      <c r="N90" s="15">
        <f t="array" ref="N90">IF(OR(L90="",M90=""),"",IFERROR(INDEX($E$2:$E$391,MATCH(1,($A$2:$A$391=L90)*($D$2:$D$391=M90),0)),""))</f>
        <v/>
      </c>
      <c r="O90" s="69">
        <f>IF(OR(L90="",M90=""),"",SUMIFS($J$2:$J$391,$A$2:$A$391,L90,$D$2:$D$391,M90))</f>
        <v/>
      </c>
      <c r="P90" s="6" t="n"/>
    </row>
    <row r="91">
      <c r="A91" s="44" t="inlineStr">
        <is>
          <t>TIPA 312 MFG</t>
        </is>
      </c>
      <c r="B91" s="44" t="inlineStr">
        <is>
          <t>Ext. C (In)</t>
        </is>
      </c>
      <c r="C91" s="43" t="n"/>
      <c r="D91" s="43">
        <f>IF(C91="","",IFERROR(_xlfn.XLOOKUP(C91,HELPER!$A$2:$A$76,HELPER!$B$2:$B$76,""),D91))</f>
        <v/>
      </c>
      <c r="E91" s="43">
        <f>IFERROR(_xlfn.XLOOKUP(D91,HELPER!$B:$B,HELPER!$C:$C,""),"")</f>
        <v/>
      </c>
      <c r="F91" s="42">
        <f>IFERROR(_xlfn.XLOOKUP(D91,HELPER!$B:$B,HELPER!$D:$D,""),"")</f>
        <v/>
      </c>
      <c r="G91" s="42" t="n">
        <v>8</v>
      </c>
      <c r="I91" s="63">
        <f>IF(AND(H91&lt;&gt;"",IFERROR(_xlfn.XLOOKUP(D91,HELPER!$B:$B,HELPER!$E:$E,""),"")=""),"Missing price",IFERROR(_xlfn.XLOOKUP(D91,HELPER!$B:$B,HELPER!$E:$E,"")," "))</f>
        <v/>
      </c>
      <c r="J91" s="72">
        <f>IFERROR(H91*(IF(G91=8,I91*HELPER!$G$2,BOM!I91*HELPER!$G$3))," ")</f>
        <v/>
      </c>
      <c r="K91" s="6" t="n"/>
      <c r="L91" s="14">
        <f t="array" ref="L91">IFERROR(_xlfn.LET(_xlpm.pairs,_xlfn._xlws.FILTER($A$2:$D$391,($A$2:$A$391&lt;&gt;"")*(TRIM($D$2:$D$391)&lt;&gt;"")),_xlpm.uniquePairs,_xlfn.UNIQUE(_xlfn.HSTACK(INDEX(_xlpm.pairs,,1),INDEX(_xlpm.pairs,,4))),_xlpm.sortedPairs,_xlfn._xlws.SORT(_xlpm.uniquePairs,1,1),IF(ROW()-1&lt;=ROWS(_xlpm.sortedPairs),INDEX(_xlpm.sortedPairs,ROW()-1,1),"")),"")</f>
        <v/>
      </c>
      <c r="M91" s="15">
        <f t="array" ref="M91">IFERROR(_xlfn.LET(_xlpm.pairs,_xlfn._xlws.FILTER($A$2:$D$391,($A$2:$A$391&lt;&gt;"")*(TRIM($D$2:$D$391)&lt;&gt;"")),_xlpm.uniquePairs,_xlfn.UNIQUE(_xlfn.HSTACK(INDEX(_xlpm.pairs,,1),INDEX(_xlpm.pairs,,4))),_xlpm.sortedPairs,_xlfn._xlws.SORT(_xlpm.uniquePairs,1,1),IF(ROW()-1&lt;=ROWS(_xlpm.sortedPairs),INDEX(_xlpm.sortedPairs,ROW()-1,2),"")),"")</f>
        <v/>
      </c>
      <c r="N91" s="15">
        <f t="array" ref="N91">IF(OR(L91="",M91=""),"",IFERROR(INDEX($E$2:$E$391,MATCH(1,($A$2:$A$391=L91)*($D$2:$D$391=M91),0)),""))</f>
        <v/>
      </c>
      <c r="O91" s="69">
        <f>IF(OR(L91="",M91=""),"",SUMIFS($J$2:$J$391,$A$2:$A$391,L91,$D$2:$D$391,M91))</f>
        <v/>
      </c>
      <c r="P91" s="6" t="n"/>
    </row>
    <row r="92">
      <c r="A92" s="44" t="inlineStr">
        <is>
          <t>TIPA 312MFGW</t>
        </is>
      </c>
      <c r="B92" s="44" t="inlineStr">
        <is>
          <t>Ext. A (Out - Chillroll)</t>
        </is>
      </c>
      <c r="C92" s="43" t="inlineStr">
        <is>
          <t>PLA</t>
        </is>
      </c>
      <c r="D92" s="43">
        <f>IF(C92="","",IFERROR(_xlfn.XLOOKUP(C92,HELPER!$A$2:$A$76,HELPER!$B$2:$B$76,""),D92))</f>
        <v/>
      </c>
      <c r="E92" s="43">
        <f>IFERROR(_xlfn.XLOOKUP(D92,HELPER!$B:$B,HELPER!$C:$C,""),"")</f>
        <v/>
      </c>
      <c r="F92" s="42">
        <f>IFERROR(_xlfn.XLOOKUP(D92,HELPER!$B:$B,HELPER!$D:$D,""),"")</f>
        <v/>
      </c>
      <c r="G92" s="42" t="n">
        <v>8</v>
      </c>
      <c r="H92" s="523" t="n">
        <v>0.795</v>
      </c>
      <c r="I92" s="63">
        <f>IF(AND(H92&lt;&gt;"",IFERROR(_xlfn.XLOOKUP(D92,HELPER!$B:$B,HELPER!$E:$E,""),"")=""),"Missing price",IFERROR(_xlfn.XLOOKUP(D92,HELPER!$B:$B,HELPER!$E:$E,"")," "))</f>
        <v/>
      </c>
      <c r="J92" s="72">
        <f>IFERROR(H92*(IF(G92=8,I92*HELPER!$G$2,BOM!I92*HELPER!$G$3))," ")</f>
        <v/>
      </c>
      <c r="K92" s="6" t="n"/>
      <c r="L92" s="14">
        <f t="array" ref="L92">IFERROR(_xlfn.LET(_xlpm.pairs,_xlfn._xlws.FILTER($A$2:$D$391,($A$2:$A$391&lt;&gt;"")*(TRIM($D$2:$D$391)&lt;&gt;"")),_xlpm.uniquePairs,_xlfn.UNIQUE(_xlfn.HSTACK(INDEX(_xlpm.pairs,,1),INDEX(_xlpm.pairs,,4))),_xlpm.sortedPairs,_xlfn._xlws.SORT(_xlpm.uniquePairs,1,1),IF(ROW()-1&lt;=ROWS(_xlpm.sortedPairs),INDEX(_xlpm.sortedPairs,ROW()-1,1),"")),"")</f>
        <v/>
      </c>
      <c r="M92" s="15">
        <f t="array" ref="M92">IFERROR(_xlfn.LET(_xlpm.pairs,_xlfn._xlws.FILTER($A$2:$D$391,($A$2:$A$391&lt;&gt;"")*(TRIM($D$2:$D$391)&lt;&gt;"")),_xlpm.uniquePairs,_xlfn.UNIQUE(_xlfn.HSTACK(INDEX(_xlpm.pairs,,1),INDEX(_xlpm.pairs,,4))),_xlpm.sortedPairs,_xlfn._xlws.SORT(_xlpm.uniquePairs,1,1),IF(ROW()-1&lt;=ROWS(_xlpm.sortedPairs),INDEX(_xlpm.sortedPairs,ROW()-1,2),"")),"")</f>
        <v/>
      </c>
      <c r="N92" s="15">
        <f t="array" ref="N92">IF(OR(L92="",M92=""),"",IFERROR(INDEX($E$2:$E$391,MATCH(1,($A$2:$A$391=L92)*($D$2:$D$391=M92),0)),""))</f>
        <v/>
      </c>
      <c r="O92" s="69">
        <f>IF(OR(L92="",M92=""),"",SUMIFS($J$2:$J$391,$A$2:$A$391,L92,$D$2:$D$391,M92))</f>
        <v/>
      </c>
      <c r="P92" s="6" t="n"/>
    </row>
    <row r="93">
      <c r="A93" s="44" t="inlineStr">
        <is>
          <t>TIPA 312MFGW</t>
        </is>
      </c>
      <c r="B93" s="44" t="inlineStr">
        <is>
          <t>Ext. A (Out - Chillroll)</t>
        </is>
      </c>
      <c r="C93" s="43" t="inlineStr">
        <is>
          <t>PCL</t>
        </is>
      </c>
      <c r="D93" s="43">
        <f>IF(C93="","",IFERROR(_xlfn.XLOOKUP(C93,HELPER!$A$2:$A$76,HELPER!$B$2:$B$76,""),D93))</f>
        <v/>
      </c>
      <c r="E93" s="43">
        <f>IFERROR(_xlfn.XLOOKUP(D93,HELPER!$B:$B,HELPER!$C:$C,""),"")</f>
        <v/>
      </c>
      <c r="F93" s="42">
        <f>IFERROR(_xlfn.XLOOKUP(D93,HELPER!$B:$B,HELPER!$D:$D,""),"")</f>
        <v/>
      </c>
      <c r="G93" s="42" t="n">
        <v>8</v>
      </c>
      <c r="H93" s="523" t="n">
        <v>0.19</v>
      </c>
      <c r="I93" s="63">
        <f>IF(AND(H93&lt;&gt;"",IFERROR(_xlfn.XLOOKUP(D93,HELPER!$B:$B,HELPER!$E:$E,""),"")=""),"Missing price",IFERROR(_xlfn.XLOOKUP(D93,HELPER!$B:$B,HELPER!$E:$E,"")," "))</f>
        <v/>
      </c>
      <c r="J93" s="72">
        <f>IFERROR(H93*(IF(G93=8,I93*HELPER!$G$2,BOM!I93*HELPER!$G$3))," ")</f>
        <v/>
      </c>
      <c r="K93" s="6" t="n"/>
      <c r="L93" s="14">
        <f t="array" ref="L93">IFERROR(_xlfn.LET(_xlpm.pairs,_xlfn._xlws.FILTER($A$2:$D$391,($A$2:$A$391&lt;&gt;"")*(TRIM($D$2:$D$391)&lt;&gt;"")),_xlpm.uniquePairs,_xlfn.UNIQUE(_xlfn.HSTACK(INDEX(_xlpm.pairs,,1),INDEX(_xlpm.pairs,,4))),_xlpm.sortedPairs,_xlfn._xlws.SORT(_xlpm.uniquePairs,1,1),IF(ROW()-1&lt;=ROWS(_xlpm.sortedPairs),INDEX(_xlpm.sortedPairs,ROW()-1,1),"")),"")</f>
        <v/>
      </c>
      <c r="M93" s="15">
        <f t="array" ref="M93">IFERROR(_xlfn.LET(_xlpm.pairs,_xlfn._xlws.FILTER($A$2:$D$391,($A$2:$A$391&lt;&gt;"")*(TRIM($D$2:$D$391)&lt;&gt;"")),_xlpm.uniquePairs,_xlfn.UNIQUE(_xlfn.HSTACK(INDEX(_xlpm.pairs,,1),INDEX(_xlpm.pairs,,4))),_xlpm.sortedPairs,_xlfn._xlws.SORT(_xlpm.uniquePairs,1,1),IF(ROW()-1&lt;=ROWS(_xlpm.sortedPairs),INDEX(_xlpm.sortedPairs,ROW()-1,2),"")),"")</f>
        <v/>
      </c>
      <c r="N93" s="15">
        <f t="array" ref="N93">IF(OR(L93="",M93=""),"",IFERROR(INDEX($E$2:$E$391,MATCH(1,($A$2:$A$391=L93)*($D$2:$D$391=M93),0)),""))</f>
        <v/>
      </c>
      <c r="O93" s="69">
        <f>IF(OR(L93="",M93=""),"",SUMIFS($J$2:$J$391,$A$2:$A$391,L93,$D$2:$D$391,M93))</f>
        <v/>
      </c>
      <c r="P93" s="6" t="n"/>
    </row>
    <row r="94">
      <c r="A94" s="44" t="inlineStr">
        <is>
          <t>TIPA 312MFGW</t>
        </is>
      </c>
      <c r="B94" s="44" t="inlineStr">
        <is>
          <t>Ext. A (Out - Chillroll)</t>
        </is>
      </c>
      <c r="C94" s="43" t="inlineStr">
        <is>
          <t>AO-PBS</t>
        </is>
      </c>
      <c r="D94" s="43">
        <f>IF(C94="","",IFERROR(_xlfn.XLOOKUP(C94,HELPER!$A$2:$A$76,HELPER!$B$2:$B$76,""),D94))</f>
        <v/>
      </c>
      <c r="E94" s="43">
        <f>IFERROR(_xlfn.XLOOKUP(D94,HELPER!$B:$B,HELPER!$C:$C,""),"")</f>
        <v/>
      </c>
      <c r="F94" s="42">
        <f>IFERROR(_xlfn.XLOOKUP(D94,HELPER!$B:$B,HELPER!$D:$D,""),"")</f>
        <v/>
      </c>
      <c r="G94" s="42" t="n">
        <v>8</v>
      </c>
      <c r="H94" s="523" t="n">
        <v>0.015</v>
      </c>
      <c r="I94" s="63">
        <f>IF(AND(H94&lt;&gt;"",IFERROR(_xlfn.XLOOKUP(D94,HELPER!$B:$B,HELPER!$E:$E,""),"")=""),"Missing price",IFERROR(_xlfn.XLOOKUP(D94,HELPER!$B:$B,HELPER!$E:$E,"")," "))</f>
        <v/>
      </c>
      <c r="J94" s="72">
        <f>IFERROR(H94*(IF(G94=8,I94*HELPER!$G$2,BOM!I94*HELPER!$G$3))," ")</f>
        <v/>
      </c>
      <c r="K94" s="6" t="n"/>
      <c r="L94" s="14">
        <f t="array" ref="L94">IFERROR(_xlfn.LET(_xlpm.pairs,_xlfn._xlws.FILTER($A$2:$D$391,($A$2:$A$391&lt;&gt;"")*(TRIM($D$2:$D$391)&lt;&gt;"")),_xlpm.uniquePairs,_xlfn.UNIQUE(_xlfn.HSTACK(INDEX(_xlpm.pairs,,1),INDEX(_xlpm.pairs,,4))),_xlpm.sortedPairs,_xlfn._xlws.SORT(_xlpm.uniquePairs,1,1),IF(ROW()-1&lt;=ROWS(_xlpm.sortedPairs),INDEX(_xlpm.sortedPairs,ROW()-1,1),"")),"")</f>
        <v/>
      </c>
      <c r="M94" s="15">
        <f t="array" ref="M94">IFERROR(_xlfn.LET(_xlpm.pairs,_xlfn._xlws.FILTER($A$2:$D$391,($A$2:$A$391&lt;&gt;"")*(TRIM($D$2:$D$391)&lt;&gt;"")),_xlpm.uniquePairs,_xlfn.UNIQUE(_xlfn.HSTACK(INDEX(_xlpm.pairs,,1),INDEX(_xlpm.pairs,,4))),_xlpm.sortedPairs,_xlfn._xlws.SORT(_xlpm.uniquePairs,1,1),IF(ROW()-1&lt;=ROWS(_xlpm.sortedPairs),INDEX(_xlpm.sortedPairs,ROW()-1,2),"")),"")</f>
        <v/>
      </c>
      <c r="N94" s="15">
        <f t="array" ref="N94">IF(OR(L94="",M94=""),"",IFERROR(INDEX($E$2:$E$391,MATCH(1,($A$2:$A$391=L94)*($D$2:$D$391=M94),0)),""))</f>
        <v/>
      </c>
      <c r="O94" s="69">
        <f>IF(OR(L94="",M94=""),"",SUMIFS($J$2:$J$391,$A$2:$A$391,L94,$D$2:$D$391,M94))</f>
        <v/>
      </c>
      <c r="P94" s="6" t="n"/>
    </row>
    <row r="95">
      <c r="A95" s="44" t="inlineStr">
        <is>
          <t>TIPA 312MFGW</t>
        </is>
      </c>
      <c r="B95" s="44" t="inlineStr">
        <is>
          <t>Ext. A (Out - Chillroll)</t>
        </is>
      </c>
      <c r="C95" s="43" t="n"/>
      <c r="D95" s="43">
        <f>IF(C95="","",IFERROR(_xlfn.XLOOKUP(C95,HELPER!$A$2:$A$76,HELPER!$B$2:$B$76,""),D95))</f>
        <v/>
      </c>
      <c r="E95" s="43">
        <f>IFERROR(_xlfn.XLOOKUP(D95,HELPER!$B:$B,HELPER!$C:$C,""),"")</f>
        <v/>
      </c>
      <c r="F95" s="42">
        <f>IFERROR(_xlfn.XLOOKUP(D95,HELPER!$B:$B,HELPER!$D:$D,""),"")</f>
        <v/>
      </c>
      <c r="G95" s="42" t="n">
        <v>8</v>
      </c>
      <c r="I95" s="63">
        <f>IF(AND(H95&lt;&gt;"",IFERROR(_xlfn.XLOOKUP(D95,HELPER!$B:$B,HELPER!$E:$E,""),"")=""),"Missing price",IFERROR(_xlfn.XLOOKUP(D95,HELPER!$B:$B,HELPER!$E:$E,"")," "))</f>
        <v/>
      </c>
      <c r="J95" s="72">
        <f>IFERROR(H95*(IF(G95=8,I95*HELPER!$G$2,BOM!I95*HELPER!$G$3))," ")</f>
        <v/>
      </c>
      <c r="K95" s="6" t="n"/>
      <c r="L95" s="14">
        <f t="array" ref="L95">IFERROR(_xlfn.LET(_xlpm.pairs,_xlfn._xlws.FILTER($A$2:$D$391,($A$2:$A$391&lt;&gt;"")*(TRIM($D$2:$D$391)&lt;&gt;"")),_xlpm.uniquePairs,_xlfn.UNIQUE(_xlfn.HSTACK(INDEX(_xlpm.pairs,,1),INDEX(_xlpm.pairs,,4))),_xlpm.sortedPairs,_xlfn._xlws.SORT(_xlpm.uniquePairs,1,1),IF(ROW()-1&lt;=ROWS(_xlpm.sortedPairs),INDEX(_xlpm.sortedPairs,ROW()-1,1),"")),"")</f>
        <v/>
      </c>
      <c r="M95" s="15">
        <f t="array" ref="M95">IFERROR(_xlfn.LET(_xlpm.pairs,_xlfn._xlws.FILTER($A$2:$D$391,($A$2:$A$391&lt;&gt;"")*(TRIM($D$2:$D$391)&lt;&gt;"")),_xlpm.uniquePairs,_xlfn.UNIQUE(_xlfn.HSTACK(INDEX(_xlpm.pairs,,1),INDEX(_xlpm.pairs,,4))),_xlpm.sortedPairs,_xlfn._xlws.SORT(_xlpm.uniquePairs,1,1),IF(ROW()-1&lt;=ROWS(_xlpm.sortedPairs),INDEX(_xlpm.sortedPairs,ROW()-1,2),"")),"")</f>
        <v/>
      </c>
      <c r="N95" s="15">
        <f t="array" ref="N95">IF(OR(L95="",M95=""),"",IFERROR(INDEX($E$2:$E$391,MATCH(1,($A$2:$A$391=L95)*($D$2:$D$391=M95),0)),""))</f>
        <v/>
      </c>
      <c r="O95" s="69">
        <f>IF(OR(L95="",M95=""),"",SUMIFS($J$2:$J$391,$A$2:$A$391,L95,$D$2:$D$391,M95))</f>
        <v/>
      </c>
      <c r="P95" s="6" t="n"/>
    </row>
    <row r="96">
      <c r="A96" s="44" t="inlineStr">
        <is>
          <t>TIPA 312MFGW</t>
        </is>
      </c>
      <c r="B96" s="44" t="inlineStr">
        <is>
          <t>Ext. A (Out - Chillroll)</t>
        </is>
      </c>
      <c r="C96" s="43" t="n"/>
      <c r="D96" s="43">
        <f>IF(C96="","",IFERROR(_xlfn.XLOOKUP(C96,HELPER!$A$2:$A$76,HELPER!$B$2:$B$76,""),D96))</f>
        <v/>
      </c>
      <c r="E96" s="43">
        <f>IFERROR(_xlfn.XLOOKUP(D96,HELPER!$B:$B,HELPER!$C:$C,""),"")</f>
        <v/>
      </c>
      <c r="F96" s="42">
        <f>IFERROR(_xlfn.XLOOKUP(D96,HELPER!$B:$B,HELPER!$D:$D,""),"")</f>
        <v/>
      </c>
      <c r="G96" s="42" t="n">
        <v>8</v>
      </c>
      <c r="I96" s="63">
        <f>IF(AND(H96&lt;&gt;"",IFERROR(_xlfn.XLOOKUP(D96,HELPER!$B:$B,HELPER!$E:$E,""),"")=""),"Missing price",IFERROR(_xlfn.XLOOKUP(D96,HELPER!$B:$B,HELPER!$E:$E,"")," "))</f>
        <v/>
      </c>
      <c r="J96" s="72">
        <f>IFERROR(H96*(IF(G96=8,I96*HELPER!$G$2,BOM!I96*HELPER!$G$3))," ")</f>
        <v/>
      </c>
      <c r="K96" s="6" t="n"/>
      <c r="L96" s="14">
        <f t="array" ref="L96">IFERROR(_xlfn.LET(_xlpm.pairs,_xlfn._xlws.FILTER($A$2:$D$391,($A$2:$A$391&lt;&gt;"")*(TRIM($D$2:$D$391)&lt;&gt;"")),_xlpm.uniquePairs,_xlfn.UNIQUE(_xlfn.HSTACK(INDEX(_xlpm.pairs,,1),INDEX(_xlpm.pairs,,4))),_xlpm.sortedPairs,_xlfn._xlws.SORT(_xlpm.uniquePairs,1,1),IF(ROW()-1&lt;=ROWS(_xlpm.sortedPairs),INDEX(_xlpm.sortedPairs,ROW()-1,1),"")),"")</f>
        <v/>
      </c>
      <c r="M96" s="15">
        <f t="array" ref="M96">IFERROR(_xlfn.LET(_xlpm.pairs,_xlfn._xlws.FILTER($A$2:$D$391,($A$2:$A$391&lt;&gt;"")*(TRIM($D$2:$D$391)&lt;&gt;"")),_xlpm.uniquePairs,_xlfn.UNIQUE(_xlfn.HSTACK(INDEX(_xlpm.pairs,,1),INDEX(_xlpm.pairs,,4))),_xlpm.sortedPairs,_xlfn._xlws.SORT(_xlpm.uniquePairs,1,1),IF(ROW()-1&lt;=ROWS(_xlpm.sortedPairs),INDEX(_xlpm.sortedPairs,ROW()-1,2),"")),"")</f>
        <v/>
      </c>
      <c r="N96" s="15">
        <f t="array" ref="N96">IF(OR(L96="",M96=""),"",IFERROR(INDEX($E$2:$E$391,MATCH(1,($A$2:$A$391=L96)*($D$2:$D$391=M96),0)),""))</f>
        <v/>
      </c>
      <c r="O96" s="69">
        <f>IF(OR(L96="",M96=""),"",SUMIFS($J$2:$J$391,$A$2:$A$391,L96,$D$2:$D$391,M96))</f>
        <v/>
      </c>
      <c r="P96" s="6" t="n"/>
    </row>
    <row r="97">
      <c r="A97" s="44" t="inlineStr">
        <is>
          <t>TIPA 312MFGW</t>
        </is>
      </c>
      <c r="B97" s="44" t="inlineStr">
        <is>
          <t>Ext. A (Out - Chillroll)</t>
        </is>
      </c>
      <c r="C97" s="43" t="n"/>
      <c r="D97" s="43">
        <f>IF(C97="","",IFERROR(_xlfn.XLOOKUP(C97,HELPER!$A$2:$A$76,HELPER!$B$2:$B$76,""),D97))</f>
        <v/>
      </c>
      <c r="E97" s="43">
        <f>IFERROR(_xlfn.XLOOKUP(D97,HELPER!$B:$B,HELPER!$C:$C,""),"")</f>
        <v/>
      </c>
      <c r="F97" s="42">
        <f>IFERROR(_xlfn.XLOOKUP(D97,HELPER!$B:$B,HELPER!$D:$D,""),"")</f>
        <v/>
      </c>
      <c r="G97" s="42" t="n">
        <v>8</v>
      </c>
      <c r="I97" s="63">
        <f>IF(AND(H97&lt;&gt;"",IFERROR(_xlfn.XLOOKUP(D97,HELPER!$B:$B,HELPER!$E:$E,""),"")=""),"Missing price",IFERROR(_xlfn.XLOOKUP(D97,HELPER!$B:$B,HELPER!$E:$E,"")," "))</f>
        <v/>
      </c>
      <c r="J97" s="72">
        <f>IFERROR(H97*(IF(G97=8,I97*HELPER!$G$2,BOM!I97*HELPER!$G$3))," ")</f>
        <v/>
      </c>
      <c r="K97" s="6" t="n"/>
      <c r="L97" s="14">
        <f t="array" ref="L97">IFERROR(_xlfn.LET(_xlpm.pairs,_xlfn._xlws.FILTER($A$2:$D$391,($A$2:$A$391&lt;&gt;"")*(TRIM($D$2:$D$391)&lt;&gt;"")),_xlpm.uniquePairs,_xlfn.UNIQUE(_xlfn.HSTACK(INDEX(_xlpm.pairs,,1),INDEX(_xlpm.pairs,,4))),_xlpm.sortedPairs,_xlfn._xlws.SORT(_xlpm.uniquePairs,1,1),IF(ROW()-1&lt;=ROWS(_xlpm.sortedPairs),INDEX(_xlpm.sortedPairs,ROW()-1,1),"")),"")</f>
        <v/>
      </c>
      <c r="M97" s="15">
        <f t="array" ref="M97">IFERROR(_xlfn.LET(_xlpm.pairs,_xlfn._xlws.FILTER($A$2:$D$391,($A$2:$A$391&lt;&gt;"")*(TRIM($D$2:$D$391)&lt;&gt;"")),_xlpm.uniquePairs,_xlfn.UNIQUE(_xlfn.HSTACK(INDEX(_xlpm.pairs,,1),INDEX(_xlpm.pairs,,4))),_xlpm.sortedPairs,_xlfn._xlws.SORT(_xlpm.uniquePairs,1,1),IF(ROW()-1&lt;=ROWS(_xlpm.sortedPairs),INDEX(_xlpm.sortedPairs,ROW()-1,2),"")),"")</f>
        <v/>
      </c>
      <c r="N97" s="15">
        <f t="array" ref="N97">IF(OR(L97="",M97=""),"",IFERROR(INDEX($E$2:$E$391,MATCH(1,($A$2:$A$391=L97)*($D$2:$D$391=M97),0)),""))</f>
        <v/>
      </c>
      <c r="O97" s="69">
        <f>IF(OR(L97="",M97=""),"",SUMIFS($J$2:$J$391,$A$2:$A$391,L97,$D$2:$D$391,M97))</f>
        <v/>
      </c>
      <c r="P97" s="6" t="n"/>
    </row>
    <row r="98">
      <c r="A98" s="44" t="inlineStr">
        <is>
          <t>TIPA 312MFGW</t>
        </is>
      </c>
      <c r="B98" s="44" t="inlineStr">
        <is>
          <t>Ext. A (Out - Chillroll)</t>
        </is>
      </c>
      <c r="C98" s="43" t="n"/>
      <c r="D98" s="43">
        <f>IF(C98="","",IFERROR(_xlfn.XLOOKUP(C98,HELPER!$A$2:$A$76,HELPER!$B$2:$B$76,""),D98))</f>
        <v/>
      </c>
      <c r="E98" s="43">
        <f>IFERROR(_xlfn.XLOOKUP(D98,HELPER!$B:$B,HELPER!$C:$C,""),"")</f>
        <v/>
      </c>
      <c r="F98" s="42">
        <f>IFERROR(_xlfn.XLOOKUP(D98,HELPER!$B:$B,HELPER!$D:$D,""),"")</f>
        <v/>
      </c>
      <c r="G98" s="42" t="n">
        <v>8</v>
      </c>
      <c r="I98" s="63">
        <f>IF(AND(H98&lt;&gt;"",IFERROR(_xlfn.XLOOKUP(D98,HELPER!$B:$B,HELPER!$E:$E,""),"")=""),"Missing price",IFERROR(_xlfn.XLOOKUP(D98,HELPER!$B:$B,HELPER!$E:$E,"")," "))</f>
        <v/>
      </c>
      <c r="J98" s="72">
        <f>IFERROR(H98*(IF(G98=8,I98*HELPER!$G$2,BOM!I98*HELPER!$G$3))," ")</f>
        <v/>
      </c>
      <c r="K98" s="6" t="n"/>
      <c r="L98" s="14">
        <f t="array" ref="L98">IFERROR(_xlfn.LET(_xlpm.pairs,_xlfn._xlws.FILTER($A$2:$D$391,($A$2:$A$391&lt;&gt;"")*(TRIM($D$2:$D$391)&lt;&gt;"")),_xlpm.uniquePairs,_xlfn.UNIQUE(_xlfn.HSTACK(INDEX(_xlpm.pairs,,1),INDEX(_xlpm.pairs,,4))),_xlpm.sortedPairs,_xlfn._xlws.SORT(_xlpm.uniquePairs,1,1),IF(ROW()-1&lt;=ROWS(_xlpm.sortedPairs),INDEX(_xlpm.sortedPairs,ROW()-1,1),"")),"")</f>
        <v/>
      </c>
      <c r="M98" s="15">
        <f t="array" ref="M98">IFERROR(_xlfn.LET(_xlpm.pairs,_xlfn._xlws.FILTER($A$2:$D$391,($A$2:$A$391&lt;&gt;"")*(TRIM($D$2:$D$391)&lt;&gt;"")),_xlpm.uniquePairs,_xlfn.UNIQUE(_xlfn.HSTACK(INDEX(_xlpm.pairs,,1),INDEX(_xlpm.pairs,,4))),_xlpm.sortedPairs,_xlfn._xlws.SORT(_xlpm.uniquePairs,1,1),IF(ROW()-1&lt;=ROWS(_xlpm.sortedPairs),INDEX(_xlpm.sortedPairs,ROW()-1,2),"")),"")</f>
        <v/>
      </c>
      <c r="N98" s="15">
        <f t="array" ref="N98">IF(OR(L98="",M98=""),"",IFERROR(INDEX($E$2:$E$391,MATCH(1,($A$2:$A$391=L98)*($D$2:$D$391=M98),0)),""))</f>
        <v/>
      </c>
      <c r="O98" s="69">
        <f>IF(OR(L98="",M98=""),"",SUMIFS($J$2:$J$391,$A$2:$A$391,L98,$D$2:$D$391,M98))</f>
        <v/>
      </c>
      <c r="P98" s="6" t="n"/>
    </row>
    <row r="99">
      <c r="A99" s="44" t="inlineStr">
        <is>
          <t>TIPA 312MFGW</t>
        </is>
      </c>
      <c r="B99" s="44" t="inlineStr">
        <is>
          <t>Ext. A (Out - Chillroll)</t>
        </is>
      </c>
      <c r="C99" s="43" t="n"/>
      <c r="D99" s="43">
        <f>IF(C99="","",IFERROR(_xlfn.XLOOKUP(C99,HELPER!$A$2:$A$76,HELPER!$B$2:$B$76,""),D99))</f>
        <v/>
      </c>
      <c r="E99" s="43">
        <f>IFERROR(_xlfn.XLOOKUP(D99,HELPER!$B:$B,HELPER!$C:$C,""),"")</f>
        <v/>
      </c>
      <c r="F99" s="42">
        <f>IFERROR(_xlfn.XLOOKUP(D99,HELPER!$B:$B,HELPER!$D:$D,""),"")</f>
        <v/>
      </c>
      <c r="G99" s="42" t="n">
        <v>8</v>
      </c>
      <c r="I99" s="63">
        <f>IF(AND(H99&lt;&gt;"",IFERROR(_xlfn.XLOOKUP(D99,HELPER!$B:$B,HELPER!$E:$E,""),"")=""),"Missing price",IFERROR(_xlfn.XLOOKUP(D99,HELPER!$B:$B,HELPER!$E:$E,"")," "))</f>
        <v/>
      </c>
      <c r="J99" s="72">
        <f>IFERROR(H99*(IF(G99=8,I99*HELPER!$G$2,BOM!I99*HELPER!$G$3))," ")</f>
        <v/>
      </c>
      <c r="K99" s="6" t="n"/>
      <c r="L99" s="14">
        <f t="array" ref="L99">IFERROR(_xlfn.LET(_xlpm.pairs,_xlfn._xlws.FILTER($A$2:$D$391,($A$2:$A$391&lt;&gt;"")*(TRIM($D$2:$D$391)&lt;&gt;"")),_xlpm.uniquePairs,_xlfn.UNIQUE(_xlfn.HSTACK(INDEX(_xlpm.pairs,,1),INDEX(_xlpm.pairs,,4))),_xlpm.sortedPairs,_xlfn._xlws.SORT(_xlpm.uniquePairs,1,1),IF(ROW()-1&lt;=ROWS(_xlpm.sortedPairs),INDEX(_xlpm.sortedPairs,ROW()-1,1),"")),"")</f>
        <v/>
      </c>
      <c r="M99" s="15">
        <f t="array" ref="M99">IFERROR(_xlfn.LET(_xlpm.pairs,_xlfn._xlws.FILTER($A$2:$D$391,($A$2:$A$391&lt;&gt;"")*(TRIM($D$2:$D$391)&lt;&gt;"")),_xlpm.uniquePairs,_xlfn.UNIQUE(_xlfn.HSTACK(INDEX(_xlpm.pairs,,1),INDEX(_xlpm.pairs,,4))),_xlpm.sortedPairs,_xlfn._xlws.SORT(_xlpm.uniquePairs,1,1),IF(ROW()-1&lt;=ROWS(_xlpm.sortedPairs),INDEX(_xlpm.sortedPairs,ROW()-1,2),"")),"")</f>
        <v/>
      </c>
      <c r="N99" s="15">
        <f t="array" ref="N99">IF(OR(L99="",M99=""),"",IFERROR(INDEX($E$2:$E$391,MATCH(1,($A$2:$A$391=L99)*($D$2:$D$391=M99),0)),""))</f>
        <v/>
      </c>
      <c r="O99" s="69">
        <f>IF(OR(L99="",M99=""),"",SUMIFS($J$2:$J$391,$A$2:$A$391,L99,$D$2:$D$391,M99))</f>
        <v/>
      </c>
      <c r="P99" s="6" t="n"/>
    </row>
    <row r="100">
      <c r="A100" s="44" t="inlineStr">
        <is>
          <t>TIPA 312MFGW</t>
        </is>
      </c>
      <c r="B100" s="44" t="inlineStr">
        <is>
          <t>Ext. A (Out - Chillroll)</t>
        </is>
      </c>
      <c r="C100" s="43" t="n"/>
      <c r="D100" s="43">
        <f>IF(C100="","",IFERROR(_xlfn.XLOOKUP(C100,HELPER!$A$2:$A$76,HELPER!$B$2:$B$76,""),D100))</f>
        <v/>
      </c>
      <c r="E100" s="43">
        <f>IFERROR(_xlfn.XLOOKUP(D100,HELPER!$B:$B,HELPER!$C:$C,""),"")</f>
        <v/>
      </c>
      <c r="F100" s="42">
        <f>IFERROR(_xlfn.XLOOKUP(D100,HELPER!$B:$B,HELPER!$D:$D,""),"")</f>
        <v/>
      </c>
      <c r="G100" s="42" t="n">
        <v>8</v>
      </c>
      <c r="I100" s="63">
        <f>IF(AND(H100&lt;&gt;"",IFERROR(_xlfn.XLOOKUP(D100,HELPER!$B:$B,HELPER!$E:$E,""),"")=""),"Missing price",IFERROR(_xlfn.XLOOKUP(D100,HELPER!$B:$B,HELPER!$E:$E,"")," "))</f>
        <v/>
      </c>
      <c r="J100" s="72">
        <f>IFERROR(H100*(IF(G100=8,I100*HELPER!$G$2,BOM!I100*HELPER!$G$3))," ")</f>
        <v/>
      </c>
      <c r="K100" s="6" t="n"/>
      <c r="L100" s="14">
        <f t="array" ref="L100">IFERROR(_xlfn.LET(_xlpm.pairs,_xlfn._xlws.FILTER($A$2:$D$391,($A$2:$A$391&lt;&gt;"")*(TRIM($D$2:$D$391)&lt;&gt;"")),_xlpm.uniquePairs,_xlfn.UNIQUE(_xlfn.HSTACK(INDEX(_xlpm.pairs,,1),INDEX(_xlpm.pairs,,4))),_xlpm.sortedPairs,_xlfn._xlws.SORT(_xlpm.uniquePairs,1,1),IF(ROW()-1&lt;=ROWS(_xlpm.sortedPairs),INDEX(_xlpm.sortedPairs,ROW()-1,1),"")),"")</f>
        <v/>
      </c>
      <c r="M100" s="15">
        <f t="array" ref="M100">IFERROR(_xlfn.LET(_xlpm.pairs,_xlfn._xlws.FILTER($A$2:$D$391,($A$2:$A$391&lt;&gt;"")*(TRIM($D$2:$D$391)&lt;&gt;"")),_xlpm.uniquePairs,_xlfn.UNIQUE(_xlfn.HSTACK(INDEX(_xlpm.pairs,,1),INDEX(_xlpm.pairs,,4))),_xlpm.sortedPairs,_xlfn._xlws.SORT(_xlpm.uniquePairs,1,1),IF(ROW()-1&lt;=ROWS(_xlpm.sortedPairs),INDEX(_xlpm.sortedPairs,ROW()-1,2),"")),"")</f>
        <v/>
      </c>
      <c r="N100" s="15">
        <f t="array" ref="N100">IF(OR(L100="",M100=""),"",IFERROR(INDEX($E$2:$E$391,MATCH(1,($A$2:$A$391=L100)*($D$2:$D$391=M100),0)),""))</f>
        <v/>
      </c>
      <c r="O100" s="69">
        <f>IF(OR(L100="",M100=""),"",SUMIFS($J$2:$J$391,$A$2:$A$391,L100,$D$2:$D$391,M100))</f>
        <v/>
      </c>
      <c r="P100" s="6" t="n"/>
    </row>
    <row r="101">
      <c r="A101" s="44" t="inlineStr">
        <is>
          <t>TIPA 312MFGW</t>
        </is>
      </c>
      <c r="B101" s="44" t="inlineStr">
        <is>
          <t>Ext. A (Out - Chillroll)</t>
        </is>
      </c>
      <c r="C101" s="43" t="n"/>
      <c r="D101" s="43">
        <f>IF(C101="","",IFERROR(_xlfn.XLOOKUP(C101,HELPER!$A$2:$A$76,HELPER!$B$2:$B$76,""),D101))</f>
        <v/>
      </c>
      <c r="E101" s="43">
        <f>IFERROR(_xlfn.XLOOKUP(D101,HELPER!$B:$B,HELPER!$C:$C,""),"")</f>
        <v/>
      </c>
      <c r="F101" s="42">
        <f>IFERROR(_xlfn.XLOOKUP(D101,HELPER!$B:$B,HELPER!$D:$D,""),"")</f>
        <v/>
      </c>
      <c r="G101" s="42" t="n">
        <v>8</v>
      </c>
      <c r="I101" s="63">
        <f>IF(AND(H101&lt;&gt;"",IFERROR(_xlfn.XLOOKUP(D101,HELPER!$B:$B,HELPER!$E:$E,""),"")=""),"Missing price",IFERROR(_xlfn.XLOOKUP(D101,HELPER!$B:$B,HELPER!$E:$E,"")," "))</f>
        <v/>
      </c>
      <c r="J101" s="72">
        <f>IFERROR(H101*(IF(G101=8,I101*HELPER!$G$2,BOM!I101*HELPER!$G$3))," ")</f>
        <v/>
      </c>
      <c r="K101" s="6" t="n"/>
      <c r="L101" s="14">
        <f t="array" ref="L101">IFERROR(_xlfn.LET(_xlpm.pairs,_xlfn._xlws.FILTER($A$2:$D$391,($A$2:$A$391&lt;&gt;"")*(TRIM($D$2:$D$391)&lt;&gt;"")),_xlpm.uniquePairs,_xlfn.UNIQUE(_xlfn.HSTACK(INDEX(_xlpm.pairs,,1),INDEX(_xlpm.pairs,,4))),_xlpm.sortedPairs,_xlfn._xlws.SORT(_xlpm.uniquePairs,1,1),IF(ROW()-1&lt;=ROWS(_xlpm.sortedPairs),INDEX(_xlpm.sortedPairs,ROW()-1,1),"")),"")</f>
        <v/>
      </c>
      <c r="M101" s="15">
        <f t="array" ref="M101">IFERROR(_xlfn.LET(_xlpm.pairs,_xlfn._xlws.FILTER($A$2:$D$391,($A$2:$A$391&lt;&gt;"")*(TRIM($D$2:$D$391)&lt;&gt;"")),_xlpm.uniquePairs,_xlfn.UNIQUE(_xlfn.HSTACK(INDEX(_xlpm.pairs,,1),INDEX(_xlpm.pairs,,4))),_xlpm.sortedPairs,_xlfn._xlws.SORT(_xlpm.uniquePairs,1,1),IF(ROW()-1&lt;=ROWS(_xlpm.sortedPairs),INDEX(_xlpm.sortedPairs,ROW()-1,2),"")),"")</f>
        <v/>
      </c>
      <c r="N101" s="15">
        <f t="array" ref="N101">IF(OR(L101="",M101=""),"",IFERROR(INDEX($E$2:$E$391,MATCH(1,($A$2:$A$391=L101)*($D$2:$D$391=M101),0)),""))</f>
        <v/>
      </c>
      <c r="O101" s="69">
        <f>IF(OR(L101="",M101=""),"",SUMIFS($J$2:$J$391,$A$2:$A$391,L101,$D$2:$D$391,M101))</f>
        <v/>
      </c>
      <c r="P101" s="6" t="n"/>
    </row>
    <row r="102">
      <c r="A102" s="44" t="inlineStr">
        <is>
          <t>TIPA 312MFGW</t>
        </is>
      </c>
      <c r="B102" s="44" t="inlineStr">
        <is>
          <t xml:space="preserve">Ext. B </t>
        </is>
      </c>
      <c r="C102" s="43" t="n"/>
      <c r="D102" s="43">
        <f>IF(C102="","",IFERROR(_xlfn.XLOOKUP(C102,HELPER!$A$2:$A$76,HELPER!$B$2:$B$76,""),D102))</f>
        <v/>
      </c>
      <c r="E102" s="43">
        <f>IFERROR(_xlfn.XLOOKUP(D102,HELPER!$B:$B,HELPER!$C:$C,""),"")</f>
        <v/>
      </c>
      <c r="F102" s="42">
        <f>IFERROR(_xlfn.XLOOKUP(D102,HELPER!$B:$B,HELPER!$D:$D,""),"")</f>
        <v/>
      </c>
      <c r="G102" s="42" t="n">
        <v>24</v>
      </c>
      <c r="I102" s="63">
        <f>IF(AND(H102&lt;&gt;"",IFERROR(_xlfn.XLOOKUP(D102,HELPER!$B:$B,HELPER!$E:$E,""),"")=""),"Missing price",IFERROR(_xlfn.XLOOKUP(D102,HELPER!$B:$B,HELPER!$E:$E,"")," "))</f>
        <v/>
      </c>
      <c r="J102" s="72">
        <f>IFERROR(H102*(IF(G102=8,I102*HELPER!$G$2,BOM!I102*HELPER!$G$3))," ")</f>
        <v/>
      </c>
      <c r="K102" s="6" t="n"/>
      <c r="L102" s="14">
        <f t="array" ref="L102">IFERROR(_xlfn.LET(_xlpm.pairs,_xlfn._xlws.FILTER($A$2:$D$391,($A$2:$A$391&lt;&gt;"")*(TRIM($D$2:$D$391)&lt;&gt;"")),_xlpm.uniquePairs,_xlfn.UNIQUE(_xlfn.HSTACK(INDEX(_xlpm.pairs,,1),INDEX(_xlpm.pairs,,4))),_xlpm.sortedPairs,_xlfn._xlws.SORT(_xlpm.uniquePairs,1,1),IF(ROW()-1&lt;=ROWS(_xlpm.sortedPairs),INDEX(_xlpm.sortedPairs,ROW()-1,1),"")),"")</f>
        <v/>
      </c>
      <c r="M102" s="15">
        <f t="array" ref="M102">IFERROR(_xlfn.LET(_xlpm.pairs,_xlfn._xlws.FILTER($A$2:$D$391,($A$2:$A$391&lt;&gt;"")*(TRIM($D$2:$D$391)&lt;&gt;"")),_xlpm.uniquePairs,_xlfn.UNIQUE(_xlfn.HSTACK(INDEX(_xlpm.pairs,,1),INDEX(_xlpm.pairs,,4))),_xlpm.sortedPairs,_xlfn._xlws.SORT(_xlpm.uniquePairs,1,1),IF(ROW()-1&lt;=ROWS(_xlpm.sortedPairs),INDEX(_xlpm.sortedPairs,ROW()-1,2),"")),"")</f>
        <v/>
      </c>
      <c r="N102" s="15">
        <f t="array" ref="N102">IF(OR(L102="",M102=""),"",IFERROR(INDEX($E$2:$E$391,MATCH(1,($A$2:$A$391=L102)*($D$2:$D$391=M102),0)),""))</f>
        <v/>
      </c>
      <c r="O102" s="69">
        <f>IF(OR(L102="",M102=""),"",SUMIFS($J$2:$J$391,$A$2:$A$391,L102,$D$2:$D$391,M102))</f>
        <v/>
      </c>
      <c r="P102" s="6" t="n"/>
    </row>
    <row r="103">
      <c r="A103" s="44" t="inlineStr">
        <is>
          <t>TIPA 312MFGW</t>
        </is>
      </c>
      <c r="B103" s="44" t="inlineStr">
        <is>
          <t xml:space="preserve">Ext. B </t>
        </is>
      </c>
      <c r="C103" s="43" t="n"/>
      <c r="D103" s="43">
        <f>IF(C103="","",IFERROR(_xlfn.XLOOKUP(C103,HELPER!$A$2:$A$76,HELPER!$B$2:$B$76,""),D103))</f>
        <v/>
      </c>
      <c r="E103" s="43">
        <f>IFERROR(_xlfn.XLOOKUP(D103,HELPER!$B:$B,HELPER!$C:$C,""),"")</f>
        <v/>
      </c>
      <c r="F103" s="42">
        <f>IFERROR(_xlfn.XLOOKUP(D103,HELPER!$B:$B,HELPER!$D:$D,""),"")</f>
        <v/>
      </c>
      <c r="G103" s="42" t="n">
        <v>24</v>
      </c>
      <c r="I103" s="63">
        <f>IF(AND(H103&lt;&gt;"",IFERROR(_xlfn.XLOOKUP(D103,HELPER!$B:$B,HELPER!$E:$E,""),"")=""),"Missing price",IFERROR(_xlfn.XLOOKUP(D103,HELPER!$B:$B,HELPER!$E:$E,"")," "))</f>
        <v/>
      </c>
      <c r="J103" s="72">
        <f>IFERROR(H103*(IF(G103=8,I103*HELPER!$G$2,BOM!I103*HELPER!$G$3))," ")</f>
        <v/>
      </c>
      <c r="K103" s="6" t="n"/>
      <c r="L103" s="14">
        <f t="array" ref="L103">IFERROR(_xlfn.LET(_xlpm.pairs,_xlfn._xlws.FILTER($A$2:$D$391,($A$2:$A$391&lt;&gt;"")*(TRIM($D$2:$D$391)&lt;&gt;"")),_xlpm.uniquePairs,_xlfn.UNIQUE(_xlfn.HSTACK(INDEX(_xlpm.pairs,,1),INDEX(_xlpm.pairs,,4))),_xlpm.sortedPairs,_xlfn._xlws.SORT(_xlpm.uniquePairs,1,1),IF(ROW()-1&lt;=ROWS(_xlpm.sortedPairs),INDEX(_xlpm.sortedPairs,ROW()-1,1),"")),"")</f>
        <v/>
      </c>
      <c r="M103" s="15">
        <f t="array" ref="M103">IFERROR(_xlfn.LET(_xlpm.pairs,_xlfn._xlws.FILTER($A$2:$D$391,($A$2:$A$391&lt;&gt;"")*(TRIM($D$2:$D$391)&lt;&gt;"")),_xlpm.uniquePairs,_xlfn.UNIQUE(_xlfn.HSTACK(INDEX(_xlpm.pairs,,1),INDEX(_xlpm.pairs,,4))),_xlpm.sortedPairs,_xlfn._xlws.SORT(_xlpm.uniquePairs,1,1),IF(ROW()-1&lt;=ROWS(_xlpm.sortedPairs),INDEX(_xlpm.sortedPairs,ROW()-1,2),"")),"")</f>
        <v/>
      </c>
      <c r="N103" s="15">
        <f t="array" ref="N103">IF(OR(L103="",M103=""),"",IFERROR(INDEX($E$2:$E$391,MATCH(1,($A$2:$A$391=L103)*($D$2:$D$391=M103),0)),""))</f>
        <v/>
      </c>
      <c r="O103" s="69">
        <f>IF(OR(L103="",M103=""),"",SUMIFS($J$2:$J$391,$A$2:$A$391,L103,$D$2:$D$391,M103))</f>
        <v/>
      </c>
      <c r="P103" s="6" t="n"/>
    </row>
    <row r="104">
      <c r="A104" s="44" t="inlineStr">
        <is>
          <t>TIPA 312MFGW</t>
        </is>
      </c>
      <c r="B104" s="44" t="inlineStr">
        <is>
          <t xml:space="preserve">Ext. B </t>
        </is>
      </c>
      <c r="C104" s="43" t="n"/>
      <c r="D104" s="43">
        <f>IF(C104="","",IFERROR(_xlfn.XLOOKUP(C104,HELPER!$A$2:$A$76,HELPER!$B$2:$B$76,""),D104))</f>
        <v/>
      </c>
      <c r="E104" s="43">
        <f>IFERROR(_xlfn.XLOOKUP(D104,HELPER!$B:$B,HELPER!$C:$C,""),"")</f>
        <v/>
      </c>
      <c r="F104" s="42">
        <f>IFERROR(_xlfn.XLOOKUP(D104,HELPER!$B:$B,HELPER!$D:$D,""),"")</f>
        <v/>
      </c>
      <c r="G104" s="42" t="n">
        <v>24</v>
      </c>
      <c r="I104" s="63">
        <f>IF(AND(H104&lt;&gt;"",IFERROR(_xlfn.XLOOKUP(D104,HELPER!$B:$B,HELPER!$E:$E,""),"")=""),"Missing price",IFERROR(_xlfn.XLOOKUP(D104,HELPER!$B:$B,HELPER!$E:$E,"")," "))</f>
        <v/>
      </c>
      <c r="J104" s="72">
        <f>IFERROR(H104*(IF(G104=8,I104*HELPER!$G$2,BOM!I104*HELPER!$G$3))," ")</f>
        <v/>
      </c>
      <c r="K104" s="6" t="n"/>
      <c r="L104" s="14">
        <f t="array" ref="L104">IFERROR(_xlfn.LET(_xlpm.pairs,_xlfn._xlws.FILTER($A$2:$D$391,($A$2:$A$391&lt;&gt;"")*(TRIM($D$2:$D$391)&lt;&gt;"")),_xlpm.uniquePairs,_xlfn.UNIQUE(_xlfn.HSTACK(INDEX(_xlpm.pairs,,1),INDEX(_xlpm.pairs,,4))),_xlpm.sortedPairs,_xlfn._xlws.SORT(_xlpm.uniquePairs,1,1),IF(ROW()-1&lt;=ROWS(_xlpm.sortedPairs),INDEX(_xlpm.sortedPairs,ROW()-1,1),"")),"")</f>
        <v/>
      </c>
      <c r="M104" s="15">
        <f t="array" ref="M104">IFERROR(_xlfn.LET(_xlpm.pairs,_xlfn._xlws.FILTER($A$2:$D$391,($A$2:$A$391&lt;&gt;"")*(TRIM($D$2:$D$391)&lt;&gt;"")),_xlpm.uniquePairs,_xlfn.UNIQUE(_xlfn.HSTACK(INDEX(_xlpm.pairs,,1),INDEX(_xlpm.pairs,,4))),_xlpm.sortedPairs,_xlfn._xlws.SORT(_xlpm.uniquePairs,1,1),IF(ROW()-1&lt;=ROWS(_xlpm.sortedPairs),INDEX(_xlpm.sortedPairs,ROW()-1,2),"")),"")</f>
        <v/>
      </c>
      <c r="N104" s="15">
        <f t="array" ref="N104">IF(OR(L104="",M104=""),"",IFERROR(INDEX($E$2:$E$391,MATCH(1,($A$2:$A$391=L104)*($D$2:$D$391=M104),0)),""))</f>
        <v/>
      </c>
      <c r="O104" s="69">
        <f>IF(OR(L104="",M104=""),"",SUMIFS($J$2:$J$391,$A$2:$A$391,L104,$D$2:$D$391,M104))</f>
        <v/>
      </c>
      <c r="P104" s="6" t="n"/>
    </row>
    <row r="105">
      <c r="A105" s="44" t="inlineStr">
        <is>
          <t>TIPA 312MFGW</t>
        </is>
      </c>
      <c r="B105" s="44" t="inlineStr">
        <is>
          <t xml:space="preserve">Ext. B </t>
        </is>
      </c>
      <c r="C105" s="43" t="n"/>
      <c r="D105" s="43">
        <f>IF(C105="","",IFERROR(_xlfn.XLOOKUP(C105,HELPER!$A$2:$A$76,HELPER!$B$2:$B$76,""),D105))</f>
        <v/>
      </c>
      <c r="E105" s="43">
        <f>IFERROR(_xlfn.XLOOKUP(D105,HELPER!$B:$B,HELPER!$C:$C,""),"")</f>
        <v/>
      </c>
      <c r="F105" s="42">
        <f>IFERROR(_xlfn.XLOOKUP(D105,HELPER!$B:$B,HELPER!$D:$D,""),"")</f>
        <v/>
      </c>
      <c r="G105" s="42" t="n">
        <v>24</v>
      </c>
      <c r="I105" s="63">
        <f>IF(AND(H105&lt;&gt;"",IFERROR(_xlfn.XLOOKUP(D105,HELPER!$B:$B,HELPER!$E:$E,""),"")=""),"Missing price",IFERROR(_xlfn.XLOOKUP(D105,HELPER!$B:$B,HELPER!$E:$E,"")," "))</f>
        <v/>
      </c>
      <c r="J105" s="72">
        <f>IFERROR(H105*(IF(G105=8,I105*HELPER!$G$2,BOM!I105*HELPER!$G$3))," ")</f>
        <v/>
      </c>
      <c r="K105" s="6" t="n"/>
      <c r="L105" s="14">
        <f t="array" ref="L105">IFERROR(_xlfn.LET(_xlpm.pairs,_xlfn._xlws.FILTER($A$2:$D$391,($A$2:$A$391&lt;&gt;"")*(TRIM($D$2:$D$391)&lt;&gt;"")),_xlpm.uniquePairs,_xlfn.UNIQUE(_xlfn.HSTACK(INDEX(_xlpm.pairs,,1),INDEX(_xlpm.pairs,,4))),_xlpm.sortedPairs,_xlfn._xlws.SORT(_xlpm.uniquePairs,1,1),IF(ROW()-1&lt;=ROWS(_xlpm.sortedPairs),INDEX(_xlpm.sortedPairs,ROW()-1,1),"")),"")</f>
        <v/>
      </c>
      <c r="M105" s="15">
        <f t="array" ref="M105">IFERROR(_xlfn.LET(_xlpm.pairs,_xlfn._xlws.FILTER($A$2:$D$391,($A$2:$A$391&lt;&gt;"")*(TRIM($D$2:$D$391)&lt;&gt;"")),_xlpm.uniquePairs,_xlfn.UNIQUE(_xlfn.HSTACK(INDEX(_xlpm.pairs,,1),INDEX(_xlpm.pairs,,4))),_xlpm.sortedPairs,_xlfn._xlws.SORT(_xlpm.uniquePairs,1,1),IF(ROW()-1&lt;=ROWS(_xlpm.sortedPairs),INDEX(_xlpm.sortedPairs,ROW()-1,2),"")),"")</f>
        <v/>
      </c>
      <c r="N105" s="15">
        <f t="array" ref="N105">IF(OR(L105="",M105=""),"",IFERROR(INDEX($E$2:$E$391,MATCH(1,($A$2:$A$391=L105)*($D$2:$D$391=M105),0)),""))</f>
        <v/>
      </c>
      <c r="O105" s="69">
        <f>IF(OR(L105="",M105=""),"",SUMIFS($J$2:$J$391,$A$2:$A$391,L105,$D$2:$D$391,M105))</f>
        <v/>
      </c>
      <c r="P105" s="6" t="n"/>
    </row>
    <row r="106">
      <c r="A106" s="44" t="inlineStr">
        <is>
          <t>TIPA 312MFGW</t>
        </is>
      </c>
      <c r="B106" s="44" t="inlineStr">
        <is>
          <t xml:space="preserve">Ext. B </t>
        </is>
      </c>
      <c r="C106" s="43" t="inlineStr">
        <is>
          <t>AO-PBS</t>
        </is>
      </c>
      <c r="D106" s="43">
        <f>IF(C106="","",IFERROR(_xlfn.XLOOKUP(C106,HELPER!$A$2:$A$76,HELPER!$B$2:$B$76,""),D106))</f>
        <v/>
      </c>
      <c r="E106" s="43">
        <f>IFERROR(_xlfn.XLOOKUP(D106,HELPER!$B:$B,HELPER!$C:$C,""),"")</f>
        <v/>
      </c>
      <c r="F106" s="42">
        <f>IFERROR(_xlfn.XLOOKUP(D106,HELPER!$B:$B,HELPER!$D:$D,""),"")</f>
        <v/>
      </c>
      <c r="G106" s="42" t="n">
        <v>24</v>
      </c>
      <c r="H106" s="523" t="n">
        <v>0.015</v>
      </c>
      <c r="I106" s="63">
        <f>IF(AND(H106&lt;&gt;"",IFERROR(_xlfn.XLOOKUP(D106,HELPER!$B:$B,HELPER!$E:$E,""),"")=""),"Missing price",IFERROR(_xlfn.XLOOKUP(D106,HELPER!$B:$B,HELPER!$E:$E,"")," "))</f>
        <v/>
      </c>
      <c r="J106" s="72">
        <f>IFERROR(H106*(IF(G106=8,I106*HELPER!$G$2,BOM!I106*HELPER!$G$3))," ")</f>
        <v/>
      </c>
      <c r="K106" s="6" t="n"/>
      <c r="L106" s="14">
        <f t="array" ref="L106">IFERROR(_xlfn.LET(_xlpm.pairs,_xlfn._xlws.FILTER($A$2:$D$391,($A$2:$A$391&lt;&gt;"")*(TRIM($D$2:$D$391)&lt;&gt;"")),_xlpm.uniquePairs,_xlfn.UNIQUE(_xlfn.HSTACK(INDEX(_xlpm.pairs,,1),INDEX(_xlpm.pairs,,4))),_xlpm.sortedPairs,_xlfn._xlws.SORT(_xlpm.uniquePairs,1,1),IF(ROW()-1&lt;=ROWS(_xlpm.sortedPairs),INDEX(_xlpm.sortedPairs,ROW()-1,1),"")),"")</f>
        <v/>
      </c>
      <c r="M106" s="15">
        <f t="array" ref="M106">IFERROR(_xlfn.LET(_xlpm.pairs,_xlfn._xlws.FILTER($A$2:$D$391,($A$2:$A$391&lt;&gt;"")*(TRIM($D$2:$D$391)&lt;&gt;"")),_xlpm.uniquePairs,_xlfn.UNIQUE(_xlfn.HSTACK(INDEX(_xlpm.pairs,,1),INDEX(_xlpm.pairs,,4))),_xlpm.sortedPairs,_xlfn._xlws.SORT(_xlpm.uniquePairs,1,1),IF(ROW()-1&lt;=ROWS(_xlpm.sortedPairs),INDEX(_xlpm.sortedPairs,ROW()-1,2),"")),"")</f>
        <v/>
      </c>
      <c r="N106" s="15">
        <f t="array" ref="N106">IF(OR(L106="",M106=""),"",IFERROR(INDEX($E$2:$E$391,MATCH(1,($A$2:$A$391=L106)*($D$2:$D$391=M106),0)),""))</f>
        <v/>
      </c>
      <c r="O106" s="69">
        <f>IF(OR(L106="",M106=""),"",SUMIFS($J$2:$J$391,$A$2:$A$391,L106,$D$2:$D$391,M106))</f>
        <v/>
      </c>
      <c r="P106" s="6" t="n"/>
    </row>
    <row r="107">
      <c r="A107" s="44" t="inlineStr">
        <is>
          <t>TIPA 312MFGW</t>
        </is>
      </c>
      <c r="B107" s="44" t="inlineStr">
        <is>
          <t xml:space="preserve">Ext. B </t>
        </is>
      </c>
      <c r="C107" s="43" t="inlineStr">
        <is>
          <t>ECOMP WHITE</t>
        </is>
      </c>
      <c r="D107" s="43">
        <f>IF(C107="","",IFERROR(_xlfn.XLOOKUP(C107,HELPER!$A$2:$A$76,HELPER!$B$2:$B$76,""),D107))</f>
        <v/>
      </c>
      <c r="E107" s="43">
        <f>IFERROR(_xlfn.XLOOKUP(D107,HELPER!$B:$B,HELPER!$C:$C,""),"")</f>
        <v/>
      </c>
      <c r="F107" s="42">
        <f>IFERROR(_xlfn.XLOOKUP(D107,HELPER!$B:$B,HELPER!$D:$D,""),"")</f>
        <v/>
      </c>
      <c r="G107" s="42" t="n">
        <v>24</v>
      </c>
      <c r="H107" s="523" t="n">
        <v>0.1</v>
      </c>
      <c r="I107" s="63">
        <f>IF(AND(H107&lt;&gt;"",IFERROR(_xlfn.XLOOKUP(D107,HELPER!$B:$B,HELPER!$E:$E,""),"")=""),"Missing price",IFERROR(_xlfn.XLOOKUP(D107,HELPER!$B:$B,HELPER!$E:$E,"")," "))</f>
        <v/>
      </c>
      <c r="J107" s="72">
        <f>IFERROR(H107*(IF(G107=8,I107*HELPER!$G$2,BOM!I107*HELPER!$G$3))," ")</f>
        <v/>
      </c>
      <c r="K107" s="6" t="n"/>
      <c r="L107" s="14">
        <f t="array" ref="L107">IFERROR(_xlfn.LET(_xlpm.pairs,_xlfn._xlws.FILTER($A$2:$D$391,($A$2:$A$391&lt;&gt;"")*(TRIM($D$2:$D$391)&lt;&gt;"")),_xlpm.uniquePairs,_xlfn.UNIQUE(_xlfn.HSTACK(INDEX(_xlpm.pairs,,1),INDEX(_xlpm.pairs,,4))),_xlpm.sortedPairs,_xlfn._xlws.SORT(_xlpm.uniquePairs,1,1),IF(ROW()-1&lt;=ROWS(_xlpm.sortedPairs),INDEX(_xlpm.sortedPairs,ROW()-1,1),"")),"")</f>
        <v/>
      </c>
      <c r="M107" s="15">
        <f t="array" ref="M107">IFERROR(_xlfn.LET(_xlpm.pairs,_xlfn._xlws.FILTER($A$2:$D$391,($A$2:$A$391&lt;&gt;"")*(TRIM($D$2:$D$391)&lt;&gt;"")),_xlpm.uniquePairs,_xlfn.UNIQUE(_xlfn.HSTACK(INDEX(_xlpm.pairs,,1),INDEX(_xlpm.pairs,,4))),_xlpm.sortedPairs,_xlfn._xlws.SORT(_xlpm.uniquePairs,1,1),IF(ROW()-1&lt;=ROWS(_xlpm.sortedPairs),INDEX(_xlpm.sortedPairs,ROW()-1,2),"")),"")</f>
        <v/>
      </c>
      <c r="N107" s="15">
        <f t="array" ref="N107">IF(OR(L107="",M107=""),"",IFERROR(INDEX($E$2:$E$391,MATCH(1,($A$2:$A$391=L107)*($D$2:$D$391=M107),0)),""))</f>
        <v/>
      </c>
      <c r="O107" s="69">
        <f>IF(OR(L107="",M107=""),"",SUMIFS($J$2:$J$391,$A$2:$A$391,L107,$D$2:$D$391,M107))</f>
        <v/>
      </c>
      <c r="P107" s="6" t="n"/>
    </row>
    <row r="108">
      <c r="A108" s="44" t="inlineStr">
        <is>
          <t>TIPA 312MFGW</t>
        </is>
      </c>
      <c r="B108" s="44" t="inlineStr">
        <is>
          <t xml:space="preserve">Ext. B </t>
        </is>
      </c>
      <c r="C108" s="43" t="n"/>
      <c r="D108" s="43">
        <f>IF(C108="","",IFERROR(_xlfn.XLOOKUP(C108,HELPER!$A$2:$A$76,HELPER!$B$2:$B$76,""),D108))</f>
        <v/>
      </c>
      <c r="E108" s="43">
        <f>IFERROR(_xlfn.XLOOKUP(D108,HELPER!$B:$B,HELPER!$C:$C,""),"")</f>
        <v/>
      </c>
      <c r="F108" s="42">
        <f>IFERROR(_xlfn.XLOOKUP(D108,HELPER!$B:$B,HELPER!$D:$D,""),"")</f>
        <v/>
      </c>
      <c r="G108" s="42" t="n">
        <v>24</v>
      </c>
      <c r="I108" s="63">
        <f>IF(AND(H108&lt;&gt;"",IFERROR(_xlfn.XLOOKUP(D108,HELPER!$B:$B,HELPER!$E:$E,""),"")=""),"Missing price",IFERROR(_xlfn.XLOOKUP(D108,HELPER!$B:$B,HELPER!$E:$E,"")," "))</f>
        <v/>
      </c>
      <c r="J108" s="72">
        <f>IFERROR(H108*(IF(G108=8,I108*HELPER!$G$2,BOM!I108*HELPER!$G$3))," ")</f>
        <v/>
      </c>
      <c r="K108" s="6" t="n"/>
      <c r="L108" s="14">
        <f t="array" ref="L108">IFERROR(_xlfn.LET(_xlpm.pairs,_xlfn._xlws.FILTER($A$2:$D$391,($A$2:$A$391&lt;&gt;"")*(TRIM($D$2:$D$391)&lt;&gt;"")),_xlpm.uniquePairs,_xlfn.UNIQUE(_xlfn.HSTACK(INDEX(_xlpm.pairs,,1),INDEX(_xlpm.pairs,,4))),_xlpm.sortedPairs,_xlfn._xlws.SORT(_xlpm.uniquePairs,1,1),IF(ROW()-1&lt;=ROWS(_xlpm.sortedPairs),INDEX(_xlpm.sortedPairs,ROW()-1,1),"")),"")</f>
        <v/>
      </c>
      <c r="M108" s="15">
        <f t="array" ref="M108">IFERROR(_xlfn.LET(_xlpm.pairs,_xlfn._xlws.FILTER($A$2:$D$391,($A$2:$A$391&lt;&gt;"")*(TRIM($D$2:$D$391)&lt;&gt;"")),_xlpm.uniquePairs,_xlfn.UNIQUE(_xlfn.HSTACK(INDEX(_xlpm.pairs,,1),INDEX(_xlpm.pairs,,4))),_xlpm.sortedPairs,_xlfn._xlws.SORT(_xlpm.uniquePairs,1,1),IF(ROW()-1&lt;=ROWS(_xlpm.sortedPairs),INDEX(_xlpm.sortedPairs,ROW()-1,2),"")),"")</f>
        <v/>
      </c>
      <c r="N108" s="15">
        <f t="array" ref="N108">IF(OR(L108="",M108=""),"",IFERROR(INDEX($E$2:$E$391,MATCH(1,($A$2:$A$391=L108)*($D$2:$D$391=M108),0)),""))</f>
        <v/>
      </c>
      <c r="O108" s="69">
        <f>IF(OR(L108="",M108=""),"",SUMIFS($J$2:$J$391,$A$2:$A$391,L108,$D$2:$D$391,M108))</f>
        <v/>
      </c>
      <c r="P108" s="6" t="n"/>
    </row>
    <row r="109">
      <c r="A109" s="44" t="inlineStr">
        <is>
          <t>TIPA 312MFGW</t>
        </is>
      </c>
      <c r="B109" s="44" t="inlineStr">
        <is>
          <t xml:space="preserve">Ext. B </t>
        </is>
      </c>
      <c r="C109" s="43" t="inlineStr">
        <is>
          <t>PBAT</t>
        </is>
      </c>
      <c r="D109" s="43">
        <f>IF(C109="","",IFERROR(_xlfn.XLOOKUP(C109,HELPER!$A$2:$A$76,HELPER!$B$2:$B$76,""),D109))</f>
        <v/>
      </c>
      <c r="E109" s="43">
        <f>IFERROR(_xlfn.XLOOKUP(D109,HELPER!$B:$B,HELPER!$C:$C,""),"")</f>
        <v/>
      </c>
      <c r="F109" s="42">
        <f>IFERROR(_xlfn.XLOOKUP(D109,HELPER!$B:$B,HELPER!$D:$D,""),"")</f>
        <v/>
      </c>
      <c r="G109" s="42" t="n">
        <v>24</v>
      </c>
      <c r="H109" s="523" t="n">
        <v>0.885</v>
      </c>
      <c r="I109" s="63">
        <f>IF(AND(H109&lt;&gt;"",IFERROR(_xlfn.XLOOKUP(D109,HELPER!$B:$B,HELPER!$E:$E,""),"")=""),"Missing price",IFERROR(_xlfn.XLOOKUP(D109,HELPER!$B:$B,HELPER!$E:$E,"")," "))</f>
        <v/>
      </c>
      <c r="J109" s="72">
        <f>IFERROR(H109*(IF(G109=8,I109*HELPER!$G$2,BOM!I109*HELPER!$G$3))," ")</f>
        <v/>
      </c>
      <c r="K109" s="6" t="n"/>
      <c r="L109" s="14">
        <f t="array" ref="L109">IFERROR(_xlfn.LET(_xlpm.pairs,_xlfn._xlws.FILTER($A$2:$D$391,($A$2:$A$391&lt;&gt;"")*(TRIM($D$2:$D$391)&lt;&gt;"")),_xlpm.uniquePairs,_xlfn.UNIQUE(_xlfn.HSTACK(INDEX(_xlpm.pairs,,1),INDEX(_xlpm.pairs,,4))),_xlpm.sortedPairs,_xlfn._xlws.SORT(_xlpm.uniquePairs,1,1),IF(ROW()-1&lt;=ROWS(_xlpm.sortedPairs),INDEX(_xlpm.sortedPairs,ROW()-1,1),"")),"")</f>
        <v/>
      </c>
      <c r="M109" s="15">
        <f t="array" ref="M109">IFERROR(_xlfn.LET(_xlpm.pairs,_xlfn._xlws.FILTER($A$2:$D$391,($A$2:$A$391&lt;&gt;"")*(TRIM($D$2:$D$391)&lt;&gt;"")),_xlpm.uniquePairs,_xlfn.UNIQUE(_xlfn.HSTACK(INDEX(_xlpm.pairs,,1),INDEX(_xlpm.pairs,,4))),_xlpm.sortedPairs,_xlfn._xlws.SORT(_xlpm.uniquePairs,1,1),IF(ROW()-1&lt;=ROWS(_xlpm.sortedPairs),INDEX(_xlpm.sortedPairs,ROW()-1,2),"")),"")</f>
        <v/>
      </c>
      <c r="N109" s="15">
        <f t="array" ref="N109">IF(OR(L109="",M109=""),"",IFERROR(INDEX($E$2:$E$391,MATCH(1,($A$2:$A$391=L109)*($D$2:$D$391=M109),0)),""))</f>
        <v/>
      </c>
      <c r="O109" s="69">
        <f>IF(OR(L109="",M109=""),"",SUMIFS($J$2:$J$391,$A$2:$A$391,L109,$D$2:$D$391,M109))</f>
        <v/>
      </c>
      <c r="P109" s="6" t="n"/>
    </row>
    <row r="110">
      <c r="A110" s="44" t="inlineStr">
        <is>
          <t>TIPA 312MFGW</t>
        </is>
      </c>
      <c r="B110" s="44" t="inlineStr">
        <is>
          <t xml:space="preserve">Ext. B </t>
        </is>
      </c>
      <c r="C110" s="43" t="n"/>
      <c r="D110" s="43">
        <f>IF(C110="","",IFERROR(_xlfn.XLOOKUP(C110,HELPER!$A$2:$A$76,HELPER!$B$2:$B$76,""),D110))</f>
        <v/>
      </c>
      <c r="E110" s="43">
        <f>IFERROR(_xlfn.XLOOKUP(D110,HELPER!$B:$B,HELPER!$C:$C,""),"")</f>
        <v/>
      </c>
      <c r="F110" s="42">
        <f>IFERROR(_xlfn.XLOOKUP(D110,HELPER!$B:$B,HELPER!$D:$D,""),"")</f>
        <v/>
      </c>
      <c r="G110" s="42" t="n">
        <v>24</v>
      </c>
      <c r="I110" s="63">
        <f>IF(AND(H110&lt;&gt;"",IFERROR(_xlfn.XLOOKUP(D110,HELPER!$B:$B,HELPER!$E:$E,""),"")=""),"Missing price",IFERROR(_xlfn.XLOOKUP(D110,HELPER!$B:$B,HELPER!$E:$E,"")," "))</f>
        <v/>
      </c>
      <c r="J110" s="72">
        <f>IFERROR(H110*(IF(G110=8,I110*HELPER!$G$2,BOM!I110*HELPER!$G$3))," ")</f>
        <v/>
      </c>
      <c r="K110" s="6" t="n"/>
      <c r="L110" s="14">
        <f t="array" ref="L110">IFERROR(_xlfn.LET(_xlpm.pairs,_xlfn._xlws.FILTER($A$2:$D$391,($A$2:$A$391&lt;&gt;"")*(TRIM($D$2:$D$391)&lt;&gt;"")),_xlpm.uniquePairs,_xlfn.UNIQUE(_xlfn.HSTACK(INDEX(_xlpm.pairs,,1),INDEX(_xlpm.pairs,,4))),_xlpm.sortedPairs,_xlfn._xlws.SORT(_xlpm.uniquePairs,1,1),IF(ROW()-1&lt;=ROWS(_xlpm.sortedPairs),INDEX(_xlpm.sortedPairs,ROW()-1,1),"")),"")</f>
        <v/>
      </c>
      <c r="M110" s="15">
        <f t="array" ref="M110">IFERROR(_xlfn.LET(_xlpm.pairs,_xlfn._xlws.FILTER($A$2:$D$391,($A$2:$A$391&lt;&gt;"")*(TRIM($D$2:$D$391)&lt;&gt;"")),_xlpm.uniquePairs,_xlfn.UNIQUE(_xlfn.HSTACK(INDEX(_xlpm.pairs,,1),INDEX(_xlpm.pairs,,4))),_xlpm.sortedPairs,_xlfn._xlws.SORT(_xlpm.uniquePairs,1,1),IF(ROW()-1&lt;=ROWS(_xlpm.sortedPairs),INDEX(_xlpm.sortedPairs,ROW()-1,2),"")),"")</f>
        <v/>
      </c>
      <c r="N110" s="15">
        <f t="array" ref="N110">IF(OR(L110="",M110=""),"",IFERROR(INDEX($E$2:$E$391,MATCH(1,($A$2:$A$391=L110)*($D$2:$D$391=M110),0)),""))</f>
        <v/>
      </c>
      <c r="O110" s="69">
        <f>IF(OR(L110="",M110=""),"",SUMIFS($J$2:$J$391,$A$2:$A$391,L110,$D$2:$D$391,M110))</f>
        <v/>
      </c>
      <c r="P110" s="6" t="n"/>
    </row>
    <row r="111">
      <c r="A111" s="44" t="inlineStr">
        <is>
          <t>TIPA 312MFGW</t>
        </is>
      </c>
      <c r="B111" s="44" t="inlineStr">
        <is>
          <t xml:space="preserve">Ext. B </t>
        </is>
      </c>
      <c r="C111" s="43" t="n"/>
      <c r="D111" s="43">
        <f>IF(C111="","",IFERROR(_xlfn.XLOOKUP(C111,HELPER!$A$2:$A$76,HELPER!$B$2:$B$76,""),D111))</f>
        <v/>
      </c>
      <c r="E111" s="43">
        <f>IFERROR(_xlfn.XLOOKUP(D111,HELPER!$B:$B,HELPER!$C:$C,""),"")</f>
        <v/>
      </c>
      <c r="F111" s="42">
        <f>IFERROR(_xlfn.XLOOKUP(D111,HELPER!$B:$B,HELPER!$D:$D,""),"")</f>
        <v/>
      </c>
      <c r="G111" s="42" t="n">
        <v>24</v>
      </c>
      <c r="I111" s="63">
        <f>IF(AND(H111&lt;&gt;"",IFERROR(_xlfn.XLOOKUP(D111,HELPER!$B:$B,HELPER!$E:$E,""),"")=""),"Missing price",IFERROR(_xlfn.XLOOKUP(D111,HELPER!$B:$B,HELPER!$E:$E,"")," "))</f>
        <v/>
      </c>
      <c r="J111" s="72">
        <f>IFERROR(H111*(IF(G111=8,I111*HELPER!$G$2,BOM!I111*HELPER!$G$3))," ")</f>
        <v/>
      </c>
      <c r="K111" s="6" t="n"/>
      <c r="L111" s="14">
        <f t="array" ref="L111">IFERROR(_xlfn.LET(_xlpm.pairs,_xlfn._xlws.FILTER($A$2:$D$391,($A$2:$A$391&lt;&gt;"")*(TRIM($D$2:$D$391)&lt;&gt;"")),_xlpm.uniquePairs,_xlfn.UNIQUE(_xlfn.HSTACK(INDEX(_xlpm.pairs,,1),INDEX(_xlpm.pairs,,4))),_xlpm.sortedPairs,_xlfn._xlws.SORT(_xlpm.uniquePairs,1,1),IF(ROW()-1&lt;=ROWS(_xlpm.sortedPairs),INDEX(_xlpm.sortedPairs,ROW()-1,1),"")),"")</f>
        <v/>
      </c>
      <c r="M111" s="15">
        <f t="array" ref="M111">IFERROR(_xlfn.LET(_xlpm.pairs,_xlfn._xlws.FILTER($A$2:$D$391,($A$2:$A$391&lt;&gt;"")*(TRIM($D$2:$D$391)&lt;&gt;"")),_xlpm.uniquePairs,_xlfn.UNIQUE(_xlfn.HSTACK(INDEX(_xlpm.pairs,,1),INDEX(_xlpm.pairs,,4))),_xlpm.sortedPairs,_xlfn._xlws.SORT(_xlpm.uniquePairs,1,1),IF(ROW()-1&lt;=ROWS(_xlpm.sortedPairs),INDEX(_xlpm.sortedPairs,ROW()-1,2),"")),"")</f>
        <v/>
      </c>
      <c r="N111" s="15">
        <f t="array" ref="N111">IF(OR(L111="",M111=""),"",IFERROR(INDEX($E$2:$E$391,MATCH(1,($A$2:$A$391=L111)*($D$2:$D$391=M111),0)),""))</f>
        <v/>
      </c>
      <c r="O111" s="69">
        <f>IF(OR(L111="",M111=""),"",SUMIFS($J$2:$J$391,$A$2:$A$391,L111,$D$2:$D$391,M111))</f>
        <v/>
      </c>
      <c r="P111" s="6" t="n"/>
    </row>
    <row r="112">
      <c r="A112" s="44" t="inlineStr">
        <is>
          <t>TIPA 312MFGW</t>
        </is>
      </c>
      <c r="B112" s="44" t="inlineStr">
        <is>
          <t>Ext. C (In)</t>
        </is>
      </c>
      <c r="C112" s="43" t="inlineStr">
        <is>
          <t>PBSA</t>
        </is>
      </c>
      <c r="D112" s="43">
        <f>IF(C112="","",IFERROR(_xlfn.XLOOKUP(C112,HELPER!$A$2:$A$76,HELPER!$B$2:$B$76,""),D112))</f>
        <v/>
      </c>
      <c r="E112" s="43">
        <f>IFERROR(_xlfn.XLOOKUP(D112,HELPER!$B:$B,HELPER!$C:$C,""),"")</f>
        <v/>
      </c>
      <c r="F112" s="42">
        <f>IFERROR(_xlfn.XLOOKUP(D112,HELPER!$B:$B,HELPER!$D:$D,""),"")</f>
        <v/>
      </c>
      <c r="G112" s="42" t="n">
        <v>8</v>
      </c>
      <c r="H112" s="523" t="n">
        <v>0.805</v>
      </c>
      <c r="I112" s="63">
        <f>IF(AND(H112&lt;&gt;"",IFERROR(_xlfn.XLOOKUP(D112,HELPER!$B:$B,HELPER!$E:$E,""),"")=""),"Missing price",IFERROR(_xlfn.XLOOKUP(D112,HELPER!$B:$B,HELPER!$E:$E,"")," "))</f>
        <v/>
      </c>
      <c r="J112" s="72">
        <f>IFERROR(H112*(IF(G112=8,I112*HELPER!$G$2,BOM!I112*HELPER!$G$3))," ")</f>
        <v/>
      </c>
      <c r="K112" s="6" t="n"/>
      <c r="L112" s="14">
        <f t="array" ref="L112">IFERROR(_xlfn.LET(_xlpm.pairs,_xlfn._xlws.FILTER($A$2:$D$391,($A$2:$A$391&lt;&gt;"")*(TRIM($D$2:$D$391)&lt;&gt;"")),_xlpm.uniquePairs,_xlfn.UNIQUE(_xlfn.HSTACK(INDEX(_xlpm.pairs,,1),INDEX(_xlpm.pairs,,4))),_xlpm.sortedPairs,_xlfn._xlws.SORT(_xlpm.uniquePairs,1,1),IF(ROW()-1&lt;=ROWS(_xlpm.sortedPairs),INDEX(_xlpm.sortedPairs,ROW()-1,1),"")),"")</f>
        <v/>
      </c>
      <c r="M112" s="15">
        <f t="array" ref="M112">IFERROR(_xlfn.LET(_xlpm.pairs,_xlfn._xlws.FILTER($A$2:$D$391,($A$2:$A$391&lt;&gt;"")*(TRIM($D$2:$D$391)&lt;&gt;"")),_xlpm.uniquePairs,_xlfn.UNIQUE(_xlfn.HSTACK(INDEX(_xlpm.pairs,,1),INDEX(_xlpm.pairs,,4))),_xlpm.sortedPairs,_xlfn._xlws.SORT(_xlpm.uniquePairs,1,1),IF(ROW()-1&lt;=ROWS(_xlpm.sortedPairs),INDEX(_xlpm.sortedPairs,ROW()-1,2),"")),"")</f>
        <v/>
      </c>
      <c r="N112" s="15">
        <f t="array" ref="N112">IF(OR(L112="",M112=""),"",IFERROR(INDEX($E$2:$E$391,MATCH(1,($A$2:$A$391=L112)*($D$2:$D$391=M112),0)),""))</f>
        <v/>
      </c>
      <c r="O112" s="69">
        <f>IF(OR(L112="",M112=""),"",SUMIFS($J$2:$J$391,$A$2:$A$391,L112,$D$2:$D$391,M112))</f>
        <v/>
      </c>
      <c r="P112" s="6" t="n"/>
    </row>
    <row r="113">
      <c r="A113" s="44" t="inlineStr">
        <is>
          <t>TIPA 312MFGW</t>
        </is>
      </c>
      <c r="B113" s="44" t="inlineStr">
        <is>
          <t>Ext. C (In)</t>
        </is>
      </c>
      <c r="C113" s="43" t="inlineStr">
        <is>
          <t>PLA</t>
        </is>
      </c>
      <c r="D113" s="43">
        <f>IF(C113="","",IFERROR(_xlfn.XLOOKUP(C113,HELPER!$A$2:$A$76,HELPER!$B$2:$B$76,""),D113))</f>
        <v/>
      </c>
      <c r="E113" s="43">
        <f>IFERROR(_xlfn.XLOOKUP(D113,HELPER!$B:$B,HELPER!$C:$C,""),"")</f>
        <v/>
      </c>
      <c r="F113" s="42">
        <f>IFERROR(_xlfn.XLOOKUP(D113,HELPER!$B:$B,HELPER!$D:$D,""),"")</f>
        <v/>
      </c>
      <c r="G113" s="42" t="n">
        <v>8</v>
      </c>
      <c r="H113" s="523" t="n">
        <v>0.142</v>
      </c>
      <c r="I113" s="63">
        <f>IF(AND(H113&lt;&gt;"",IFERROR(_xlfn.XLOOKUP(D113,HELPER!$B:$B,HELPER!$E:$E,""),"")=""),"Missing price",IFERROR(_xlfn.XLOOKUP(D113,HELPER!$B:$B,HELPER!$E:$E,"")," "))</f>
        <v/>
      </c>
      <c r="J113" s="72">
        <f>IFERROR(H113*(IF(G113=8,I113*HELPER!$G$2,BOM!I113*HELPER!$G$3))," ")</f>
        <v/>
      </c>
      <c r="K113" s="6" t="n"/>
      <c r="L113" s="14">
        <f t="array" ref="L113">IFERROR(_xlfn.LET(_xlpm.pairs,_xlfn._xlws.FILTER($A$2:$D$391,($A$2:$A$391&lt;&gt;"")*(TRIM($D$2:$D$391)&lt;&gt;"")),_xlpm.uniquePairs,_xlfn.UNIQUE(_xlfn.HSTACK(INDEX(_xlpm.pairs,,1),INDEX(_xlpm.pairs,,4))),_xlpm.sortedPairs,_xlfn._xlws.SORT(_xlpm.uniquePairs,1,1),IF(ROW()-1&lt;=ROWS(_xlpm.sortedPairs),INDEX(_xlpm.sortedPairs,ROW()-1,1),"")),"")</f>
        <v/>
      </c>
      <c r="M113" s="15">
        <f t="array" ref="M113">IFERROR(_xlfn.LET(_xlpm.pairs,_xlfn._xlws.FILTER($A$2:$D$391,($A$2:$A$391&lt;&gt;"")*(TRIM($D$2:$D$391)&lt;&gt;"")),_xlpm.uniquePairs,_xlfn.UNIQUE(_xlfn.HSTACK(INDEX(_xlpm.pairs,,1),INDEX(_xlpm.pairs,,4))),_xlpm.sortedPairs,_xlfn._xlws.SORT(_xlpm.uniquePairs,1,1),IF(ROW()-1&lt;=ROWS(_xlpm.sortedPairs),INDEX(_xlpm.sortedPairs,ROW()-1,2),"")),"")</f>
        <v/>
      </c>
      <c r="N113" s="15">
        <f t="array" ref="N113">IF(OR(L113="",M113=""),"",IFERROR(INDEX($E$2:$E$391,MATCH(1,($A$2:$A$391=L113)*($D$2:$D$391=M113),0)),""))</f>
        <v/>
      </c>
      <c r="O113" s="69">
        <f>IF(OR(L113="",M113=""),"",SUMIFS($J$2:$J$391,$A$2:$A$391,L113,$D$2:$D$391,M113))</f>
        <v/>
      </c>
      <c r="P113" s="6" t="n"/>
    </row>
    <row r="114">
      <c r="A114" s="44" t="inlineStr">
        <is>
          <t>TIPA 312MFGW</t>
        </is>
      </c>
      <c r="B114" s="44" t="inlineStr">
        <is>
          <t>Ext. C (In)</t>
        </is>
      </c>
      <c r="C114" s="43" t="inlineStr">
        <is>
          <t>AB-PLA</t>
        </is>
      </c>
      <c r="D114" s="43">
        <f>IF(C114="","",IFERROR(_xlfn.XLOOKUP(C114,HELPER!$A$2:$A$76,HELPER!$B$2:$B$76,""),D114))</f>
        <v/>
      </c>
      <c r="E114" s="43">
        <f>IFERROR(_xlfn.XLOOKUP(D114,HELPER!$B:$B,HELPER!$C:$C,""),"")</f>
        <v/>
      </c>
      <c r="F114" s="42">
        <f>IFERROR(_xlfn.XLOOKUP(D114,HELPER!$B:$B,HELPER!$D:$D,""),"")</f>
        <v/>
      </c>
      <c r="G114" s="42" t="n">
        <v>8</v>
      </c>
      <c r="H114" s="523" t="n">
        <v>0.015</v>
      </c>
      <c r="I114" s="63">
        <f>IF(AND(H114&lt;&gt;"",IFERROR(_xlfn.XLOOKUP(D114,HELPER!$B:$B,HELPER!$E:$E,""),"")=""),"Missing price",IFERROR(_xlfn.XLOOKUP(D114,HELPER!$B:$B,HELPER!$E:$E,"")," "))</f>
        <v/>
      </c>
      <c r="J114" s="72">
        <f>IFERROR(H114*(IF(G114=8,I114*HELPER!$G$2,BOM!I114*HELPER!$G$3))," ")</f>
        <v/>
      </c>
      <c r="K114" s="6" t="n"/>
      <c r="L114" s="14">
        <f t="array" ref="L114">IFERROR(_xlfn.LET(_xlpm.pairs,_xlfn._xlws.FILTER($A$2:$D$391,($A$2:$A$391&lt;&gt;"")*(TRIM($D$2:$D$391)&lt;&gt;"")),_xlpm.uniquePairs,_xlfn.UNIQUE(_xlfn.HSTACK(INDEX(_xlpm.pairs,,1),INDEX(_xlpm.pairs,,4))),_xlpm.sortedPairs,_xlfn._xlws.SORT(_xlpm.uniquePairs,1,1),IF(ROW()-1&lt;=ROWS(_xlpm.sortedPairs),INDEX(_xlpm.sortedPairs,ROW()-1,1),"")),"")</f>
        <v/>
      </c>
      <c r="M114" s="15">
        <f t="array" ref="M114">IFERROR(_xlfn.LET(_xlpm.pairs,_xlfn._xlws.FILTER($A$2:$D$391,($A$2:$A$391&lt;&gt;"")*(TRIM($D$2:$D$391)&lt;&gt;"")),_xlpm.uniquePairs,_xlfn.UNIQUE(_xlfn.HSTACK(INDEX(_xlpm.pairs,,1),INDEX(_xlpm.pairs,,4))),_xlpm.sortedPairs,_xlfn._xlws.SORT(_xlpm.uniquePairs,1,1),IF(ROW()-1&lt;=ROWS(_xlpm.sortedPairs),INDEX(_xlpm.sortedPairs,ROW()-1,2),"")),"")</f>
        <v/>
      </c>
      <c r="N114" s="15">
        <f t="array" ref="N114">IF(OR(L114="",M114=""),"",IFERROR(INDEX($E$2:$E$391,MATCH(1,($A$2:$A$391=L114)*($D$2:$D$391=M114),0)),""))</f>
        <v/>
      </c>
      <c r="O114" s="69">
        <f>IF(OR(L114="",M114=""),"",SUMIFS($J$2:$J$391,$A$2:$A$391,L114,$D$2:$D$391,M114))</f>
        <v/>
      </c>
      <c r="P114" s="6" t="n"/>
    </row>
    <row r="115">
      <c r="A115" s="44" t="inlineStr">
        <is>
          <t>TIPA 312MFGW</t>
        </is>
      </c>
      <c r="B115" s="44" t="inlineStr">
        <is>
          <t>Ext. C (In)</t>
        </is>
      </c>
      <c r="C115" s="43" t="inlineStr">
        <is>
          <t>AO-PBS</t>
        </is>
      </c>
      <c r="D115" s="43">
        <f>IF(C115="","",IFERROR(_xlfn.XLOOKUP(C115,HELPER!$A$2:$A$76,HELPER!$B$2:$B$76,""),D115))</f>
        <v/>
      </c>
      <c r="E115" s="43">
        <f>IFERROR(_xlfn.XLOOKUP(D115,HELPER!$B:$B,HELPER!$C:$C,""),"")</f>
        <v/>
      </c>
      <c r="F115" s="42">
        <f>IFERROR(_xlfn.XLOOKUP(D115,HELPER!$B:$B,HELPER!$D:$D,""),"")</f>
        <v/>
      </c>
      <c r="G115" s="42" t="n">
        <v>8</v>
      </c>
      <c r="H115" s="523" t="n">
        <v>0.015</v>
      </c>
      <c r="I115" s="63">
        <f>IF(AND(H115&lt;&gt;"",IFERROR(_xlfn.XLOOKUP(D115,HELPER!$B:$B,HELPER!$E:$E,""),"")=""),"Missing price",IFERROR(_xlfn.XLOOKUP(D115,HELPER!$B:$B,HELPER!$E:$E,"")," "))</f>
        <v/>
      </c>
      <c r="J115" s="72">
        <f>IFERROR(H115*(IF(G115=8,I115*HELPER!$G$2,BOM!I115*HELPER!$G$3))," ")</f>
        <v/>
      </c>
      <c r="K115" s="6" t="n"/>
      <c r="L115" s="14">
        <f t="array" ref="L115">IFERROR(_xlfn.LET(_xlpm.pairs,_xlfn._xlws.FILTER($A$2:$D$391,($A$2:$A$391&lt;&gt;"")*(TRIM($D$2:$D$391)&lt;&gt;"")),_xlpm.uniquePairs,_xlfn.UNIQUE(_xlfn.HSTACK(INDEX(_xlpm.pairs,,1),INDEX(_xlpm.pairs,,4))),_xlpm.sortedPairs,_xlfn._xlws.SORT(_xlpm.uniquePairs,1,1),IF(ROW()-1&lt;=ROWS(_xlpm.sortedPairs),INDEX(_xlpm.sortedPairs,ROW()-1,1),"")),"")</f>
        <v/>
      </c>
      <c r="M115" s="15">
        <f t="array" ref="M115">IFERROR(_xlfn.LET(_xlpm.pairs,_xlfn._xlws.FILTER($A$2:$D$391,($A$2:$A$391&lt;&gt;"")*(TRIM($D$2:$D$391)&lt;&gt;"")),_xlpm.uniquePairs,_xlfn.UNIQUE(_xlfn.HSTACK(INDEX(_xlpm.pairs,,1),INDEX(_xlpm.pairs,,4))),_xlpm.sortedPairs,_xlfn._xlws.SORT(_xlpm.uniquePairs,1,1),IF(ROW()-1&lt;=ROWS(_xlpm.sortedPairs),INDEX(_xlpm.sortedPairs,ROW()-1,2),"")),"")</f>
        <v/>
      </c>
      <c r="N115" s="15">
        <f t="array" ref="N115">IF(OR(L115="",M115=""),"",IFERROR(INDEX($E$2:$E$391,MATCH(1,($A$2:$A$391=L115)*($D$2:$D$391=M115),0)),""))</f>
        <v/>
      </c>
      <c r="O115" s="69">
        <f>IF(OR(L115="",M115=""),"",SUMIFS($J$2:$J$391,$A$2:$A$391,L115,$D$2:$D$391,M115))</f>
        <v/>
      </c>
      <c r="P115" s="6" t="n"/>
    </row>
    <row r="116">
      <c r="A116" s="44" t="inlineStr">
        <is>
          <t>TIPA 312MFGW</t>
        </is>
      </c>
      <c r="B116" s="44" t="inlineStr">
        <is>
          <t>Ext. C (In)</t>
        </is>
      </c>
      <c r="C116" s="43" t="inlineStr">
        <is>
          <t>SLAB-PBSA</t>
        </is>
      </c>
      <c r="D116" s="43">
        <f>IF(C116="","",IFERROR(_xlfn.XLOOKUP(C116,HELPER!$A$2:$A$76,HELPER!$B$2:$B$76,""),D116))</f>
        <v/>
      </c>
      <c r="E116" s="43">
        <f>IFERROR(_xlfn.XLOOKUP(D116,HELPER!$B:$B,HELPER!$C:$C,""),"")</f>
        <v/>
      </c>
      <c r="F116" s="42">
        <f>IFERROR(_xlfn.XLOOKUP(D116,HELPER!$B:$B,HELPER!$D:$D,""),"")</f>
        <v/>
      </c>
      <c r="G116" s="42" t="n">
        <v>8</v>
      </c>
      <c r="H116" s="523" t="n">
        <v>0.023</v>
      </c>
      <c r="I116" s="63">
        <f>IF(AND(H116&lt;&gt;"",IFERROR(_xlfn.XLOOKUP(D116,HELPER!$B:$B,HELPER!$E:$E,""),"")=""),"Missing price",IFERROR(_xlfn.XLOOKUP(D116,HELPER!$B:$B,HELPER!$E:$E,"")," "))</f>
        <v/>
      </c>
      <c r="J116" s="72">
        <f>IFERROR(H116*(IF(G116=8,I116*HELPER!$G$2,BOM!I116*HELPER!$G$3))," ")</f>
        <v/>
      </c>
      <c r="K116" s="6" t="n"/>
      <c r="L116" s="14">
        <f t="array" ref="L116">IFERROR(_xlfn.LET(_xlpm.pairs,_xlfn._xlws.FILTER($A$2:$D$391,($A$2:$A$391&lt;&gt;"")*(TRIM($D$2:$D$391)&lt;&gt;"")),_xlpm.uniquePairs,_xlfn.UNIQUE(_xlfn.HSTACK(INDEX(_xlpm.pairs,,1),INDEX(_xlpm.pairs,,4))),_xlpm.sortedPairs,_xlfn._xlws.SORT(_xlpm.uniquePairs,1,1),IF(ROW()-1&lt;=ROWS(_xlpm.sortedPairs),INDEX(_xlpm.sortedPairs,ROW()-1,1),"")),"")</f>
        <v/>
      </c>
      <c r="M116" s="15">
        <f t="array" ref="M116">IFERROR(_xlfn.LET(_xlpm.pairs,_xlfn._xlws.FILTER($A$2:$D$391,($A$2:$A$391&lt;&gt;"")*(TRIM($D$2:$D$391)&lt;&gt;"")),_xlpm.uniquePairs,_xlfn.UNIQUE(_xlfn.HSTACK(INDEX(_xlpm.pairs,,1),INDEX(_xlpm.pairs,,4))),_xlpm.sortedPairs,_xlfn._xlws.SORT(_xlpm.uniquePairs,1,1),IF(ROW()-1&lt;=ROWS(_xlpm.sortedPairs),INDEX(_xlpm.sortedPairs,ROW()-1,2),"")),"")</f>
        <v/>
      </c>
      <c r="N116" s="15">
        <f t="array" ref="N116">IF(OR(L116="",M116=""),"",IFERROR(INDEX($E$2:$E$391,MATCH(1,($A$2:$A$391=L116)*($D$2:$D$391=M116),0)),""))</f>
        <v/>
      </c>
      <c r="O116" s="69">
        <f>IF(OR(L116="",M116=""),"",SUMIFS($J$2:$J$391,$A$2:$A$391,L116,$D$2:$D$391,M116))</f>
        <v/>
      </c>
      <c r="P116" s="6" t="n"/>
    </row>
    <row r="117">
      <c r="A117" s="44" t="inlineStr">
        <is>
          <t>TIPA 312MFGW</t>
        </is>
      </c>
      <c r="B117" s="44" t="inlineStr">
        <is>
          <t>Ext. C (In)</t>
        </is>
      </c>
      <c r="C117" s="43" t="n"/>
      <c r="D117" s="43">
        <f>IF(C117="","",IFERROR(_xlfn.XLOOKUP(C117,HELPER!$A$2:$A$76,HELPER!$B$2:$B$76,""),D117))</f>
        <v/>
      </c>
      <c r="E117" s="43">
        <f>IFERROR(_xlfn.XLOOKUP(D117,HELPER!$B:$B,HELPER!$C:$C,""),"")</f>
        <v/>
      </c>
      <c r="F117" s="42">
        <f>IFERROR(_xlfn.XLOOKUP(D117,HELPER!$B:$B,HELPER!$D:$D,""),"")</f>
        <v/>
      </c>
      <c r="G117" s="42" t="n">
        <v>8</v>
      </c>
      <c r="I117" s="63">
        <f>IF(AND(H117&lt;&gt;"",IFERROR(_xlfn.XLOOKUP(D117,HELPER!$B:$B,HELPER!$E:$E,""),"")=""),"Missing price",IFERROR(_xlfn.XLOOKUP(D117,HELPER!$B:$B,HELPER!$E:$E,"")," "))</f>
        <v/>
      </c>
      <c r="J117" s="72">
        <f>IFERROR(H117*(IF(G117=8,I117*HELPER!$G$2,BOM!I117*HELPER!$G$3))," ")</f>
        <v/>
      </c>
      <c r="K117" s="6" t="n"/>
      <c r="L117" s="14">
        <f t="array" ref="L117">IFERROR(_xlfn.LET(_xlpm.pairs,_xlfn._xlws.FILTER($A$2:$D$391,($A$2:$A$391&lt;&gt;"")*(TRIM($D$2:$D$391)&lt;&gt;"")),_xlpm.uniquePairs,_xlfn.UNIQUE(_xlfn.HSTACK(INDEX(_xlpm.pairs,,1),INDEX(_xlpm.pairs,,4))),_xlpm.sortedPairs,_xlfn._xlws.SORT(_xlpm.uniquePairs,1,1),IF(ROW()-1&lt;=ROWS(_xlpm.sortedPairs),INDEX(_xlpm.sortedPairs,ROW()-1,1),"")),"")</f>
        <v/>
      </c>
      <c r="M117" s="15">
        <f t="array" ref="M117">IFERROR(_xlfn.LET(_xlpm.pairs,_xlfn._xlws.FILTER($A$2:$D$391,($A$2:$A$391&lt;&gt;"")*(TRIM($D$2:$D$391)&lt;&gt;"")),_xlpm.uniquePairs,_xlfn.UNIQUE(_xlfn.HSTACK(INDEX(_xlpm.pairs,,1),INDEX(_xlpm.pairs,,4))),_xlpm.sortedPairs,_xlfn._xlws.SORT(_xlpm.uniquePairs,1,1),IF(ROW()-1&lt;=ROWS(_xlpm.sortedPairs),INDEX(_xlpm.sortedPairs,ROW()-1,2),"")),"")</f>
        <v/>
      </c>
      <c r="N117" s="15">
        <f t="array" ref="N117">IF(OR(L117="",M117=""),"",IFERROR(INDEX($E$2:$E$391,MATCH(1,($A$2:$A$391=L117)*($D$2:$D$391=M117),0)),""))</f>
        <v/>
      </c>
      <c r="O117" s="69">
        <f>IF(OR(L117="",M117=""),"",SUMIFS($J$2:$J$391,$A$2:$A$391,L117,$D$2:$D$391,M117))</f>
        <v/>
      </c>
      <c r="P117" s="6" t="n"/>
    </row>
    <row r="118">
      <c r="A118" s="44" t="inlineStr">
        <is>
          <t>TIPA 312MFGW</t>
        </is>
      </c>
      <c r="B118" s="44" t="inlineStr">
        <is>
          <t>Ext. C (In)</t>
        </is>
      </c>
      <c r="C118" s="43" t="n"/>
      <c r="D118" s="43">
        <f>IF(C118="","",IFERROR(_xlfn.XLOOKUP(C118,HELPER!$A$2:$A$76,HELPER!$B$2:$B$76,""),D118))</f>
        <v/>
      </c>
      <c r="E118" s="43">
        <f>IFERROR(_xlfn.XLOOKUP(D118,HELPER!$B:$B,HELPER!$C:$C,""),"")</f>
        <v/>
      </c>
      <c r="F118" s="42">
        <f>IFERROR(_xlfn.XLOOKUP(D118,HELPER!$B:$B,HELPER!$D:$D,""),"")</f>
        <v/>
      </c>
      <c r="G118" s="42" t="n">
        <v>8</v>
      </c>
      <c r="I118" s="63">
        <f>IF(AND(H118&lt;&gt;"",IFERROR(_xlfn.XLOOKUP(D118,HELPER!$B:$B,HELPER!$E:$E,""),"")=""),"Missing price",IFERROR(_xlfn.XLOOKUP(D118,HELPER!$B:$B,HELPER!$E:$E,"")," "))</f>
        <v/>
      </c>
      <c r="J118" s="72">
        <f>IFERROR(H118*(IF(G118=8,I118*HELPER!$G$2,BOM!I118*HELPER!$G$3))," ")</f>
        <v/>
      </c>
      <c r="K118" s="6" t="n"/>
      <c r="L118" s="14">
        <f t="array" ref="L118">IFERROR(_xlfn.LET(_xlpm.pairs,_xlfn._xlws.FILTER($A$2:$D$391,($A$2:$A$391&lt;&gt;"")*(TRIM($D$2:$D$391)&lt;&gt;"")),_xlpm.uniquePairs,_xlfn.UNIQUE(_xlfn.HSTACK(INDEX(_xlpm.pairs,,1),INDEX(_xlpm.pairs,,4))),_xlpm.sortedPairs,_xlfn._xlws.SORT(_xlpm.uniquePairs,1,1),IF(ROW()-1&lt;=ROWS(_xlpm.sortedPairs),INDEX(_xlpm.sortedPairs,ROW()-1,1),"")),"")</f>
        <v/>
      </c>
      <c r="M118" s="15">
        <f t="array" ref="M118">IFERROR(_xlfn.LET(_xlpm.pairs,_xlfn._xlws.FILTER($A$2:$D$391,($A$2:$A$391&lt;&gt;"")*(TRIM($D$2:$D$391)&lt;&gt;"")),_xlpm.uniquePairs,_xlfn.UNIQUE(_xlfn.HSTACK(INDEX(_xlpm.pairs,,1),INDEX(_xlpm.pairs,,4))),_xlpm.sortedPairs,_xlfn._xlws.SORT(_xlpm.uniquePairs,1,1),IF(ROW()-1&lt;=ROWS(_xlpm.sortedPairs),INDEX(_xlpm.sortedPairs,ROW()-1,2),"")),"")</f>
        <v/>
      </c>
      <c r="N118" s="15">
        <f t="array" ref="N118">IF(OR(L118="",M118=""),"",IFERROR(INDEX($E$2:$E$391,MATCH(1,($A$2:$A$391=L118)*($D$2:$D$391=M118),0)),""))</f>
        <v/>
      </c>
      <c r="O118" s="69">
        <f>IF(OR(L118="",M118=""),"",SUMIFS($J$2:$J$391,$A$2:$A$391,L118,$D$2:$D$391,M118))</f>
        <v/>
      </c>
      <c r="P118" s="6" t="n"/>
    </row>
    <row r="119">
      <c r="A119" s="44" t="inlineStr">
        <is>
          <t>TIPA 312MFGW</t>
        </is>
      </c>
      <c r="B119" s="44" t="inlineStr">
        <is>
          <t>Ext. C (In)</t>
        </is>
      </c>
      <c r="C119" s="43" t="n"/>
      <c r="D119" s="43">
        <f>IF(C119="","",IFERROR(_xlfn.XLOOKUP(C119,HELPER!$A$2:$A$76,HELPER!$B$2:$B$76,""),D119))</f>
        <v/>
      </c>
      <c r="E119" s="43">
        <f>IFERROR(_xlfn.XLOOKUP(D119,HELPER!$B:$B,HELPER!$C:$C,""),"")</f>
        <v/>
      </c>
      <c r="F119" s="42">
        <f>IFERROR(_xlfn.XLOOKUP(D119,HELPER!$B:$B,HELPER!$D:$D,""),"")</f>
        <v/>
      </c>
      <c r="G119" s="42" t="n">
        <v>8</v>
      </c>
      <c r="I119" s="63">
        <f>IF(AND(H119&lt;&gt;"",IFERROR(_xlfn.XLOOKUP(D119,HELPER!$B:$B,HELPER!$E:$E,""),"")=""),"Missing price",IFERROR(_xlfn.XLOOKUP(D119,HELPER!$B:$B,HELPER!$E:$E,"")," "))</f>
        <v/>
      </c>
      <c r="J119" s="72">
        <f>IFERROR(H119*(IF(G119=8,I119*HELPER!$G$2,BOM!I119*HELPER!$G$3))," ")</f>
        <v/>
      </c>
      <c r="K119" s="6" t="n"/>
      <c r="L119" s="14">
        <f t="array" ref="L119">IFERROR(_xlfn.LET(_xlpm.pairs,_xlfn._xlws.FILTER($A$2:$D$391,($A$2:$A$391&lt;&gt;"")*(TRIM($D$2:$D$391)&lt;&gt;"")),_xlpm.uniquePairs,_xlfn.UNIQUE(_xlfn.HSTACK(INDEX(_xlpm.pairs,,1),INDEX(_xlpm.pairs,,4))),_xlpm.sortedPairs,_xlfn._xlws.SORT(_xlpm.uniquePairs,1,1),IF(ROW()-1&lt;=ROWS(_xlpm.sortedPairs),INDEX(_xlpm.sortedPairs,ROW()-1,1),"")),"")</f>
        <v/>
      </c>
      <c r="M119" s="15">
        <f t="array" ref="M119">IFERROR(_xlfn.LET(_xlpm.pairs,_xlfn._xlws.FILTER($A$2:$D$391,($A$2:$A$391&lt;&gt;"")*(TRIM($D$2:$D$391)&lt;&gt;"")),_xlpm.uniquePairs,_xlfn.UNIQUE(_xlfn.HSTACK(INDEX(_xlpm.pairs,,1),INDEX(_xlpm.pairs,,4))),_xlpm.sortedPairs,_xlfn._xlws.SORT(_xlpm.uniquePairs,1,1),IF(ROW()-1&lt;=ROWS(_xlpm.sortedPairs),INDEX(_xlpm.sortedPairs,ROW()-1,2),"")),"")</f>
        <v/>
      </c>
      <c r="N119" s="15">
        <f t="array" ref="N119">IF(OR(L119="",M119=""),"",IFERROR(INDEX($E$2:$E$391,MATCH(1,($A$2:$A$391=L119)*($D$2:$D$391=M119),0)),""))</f>
        <v/>
      </c>
      <c r="O119" s="69">
        <f>IF(OR(L119="",M119=""),"",SUMIFS($J$2:$J$391,$A$2:$A$391,L119,$D$2:$D$391,M119))</f>
        <v/>
      </c>
      <c r="P119" s="6" t="n"/>
    </row>
    <row r="120">
      <c r="A120" s="44" t="inlineStr">
        <is>
          <t>TIPA 312MFGW</t>
        </is>
      </c>
      <c r="B120" s="44" t="inlineStr">
        <is>
          <t>Ext. C (In)</t>
        </is>
      </c>
      <c r="C120" s="43" t="n"/>
      <c r="D120" s="43">
        <f>IF(C120="","",IFERROR(_xlfn.XLOOKUP(C120,HELPER!$A$2:$A$76,HELPER!$B$2:$B$76,""),D120))</f>
        <v/>
      </c>
      <c r="E120" s="43">
        <f>IFERROR(_xlfn.XLOOKUP(D120,HELPER!$B:$B,HELPER!$C:$C,""),"")</f>
        <v/>
      </c>
      <c r="F120" s="42">
        <f>IFERROR(_xlfn.XLOOKUP(D120,HELPER!$B:$B,HELPER!$D:$D,""),"")</f>
        <v/>
      </c>
      <c r="G120" s="42" t="n">
        <v>8</v>
      </c>
      <c r="I120" s="63">
        <f>IF(AND(H120&lt;&gt;"",IFERROR(_xlfn.XLOOKUP(D120,HELPER!$B:$B,HELPER!$E:$E,""),"")=""),"Missing price",IFERROR(_xlfn.XLOOKUP(D120,HELPER!$B:$B,HELPER!$E:$E,"")," "))</f>
        <v/>
      </c>
      <c r="J120" s="72">
        <f>IFERROR(H120*(IF(G120=8,I120*HELPER!$G$2,BOM!I120*HELPER!$G$3))," ")</f>
        <v/>
      </c>
      <c r="K120" s="6" t="n"/>
      <c r="L120" s="14">
        <f t="array" ref="L120">IFERROR(_xlfn.LET(_xlpm.pairs,_xlfn._xlws.FILTER($A$2:$D$391,($A$2:$A$391&lt;&gt;"")*(TRIM($D$2:$D$391)&lt;&gt;"")),_xlpm.uniquePairs,_xlfn.UNIQUE(_xlfn.HSTACK(INDEX(_xlpm.pairs,,1),INDEX(_xlpm.pairs,,4))),_xlpm.sortedPairs,_xlfn._xlws.SORT(_xlpm.uniquePairs,1,1),IF(ROW()-1&lt;=ROWS(_xlpm.sortedPairs),INDEX(_xlpm.sortedPairs,ROW()-1,1),"")),"")</f>
        <v/>
      </c>
      <c r="M120" s="15">
        <f t="array" ref="M120">IFERROR(_xlfn.LET(_xlpm.pairs,_xlfn._xlws.FILTER($A$2:$D$391,($A$2:$A$391&lt;&gt;"")*(TRIM($D$2:$D$391)&lt;&gt;"")),_xlpm.uniquePairs,_xlfn.UNIQUE(_xlfn.HSTACK(INDEX(_xlpm.pairs,,1),INDEX(_xlpm.pairs,,4))),_xlpm.sortedPairs,_xlfn._xlws.SORT(_xlpm.uniquePairs,1,1),IF(ROW()-1&lt;=ROWS(_xlpm.sortedPairs),INDEX(_xlpm.sortedPairs,ROW()-1,2),"")),"")</f>
        <v/>
      </c>
      <c r="N120" s="15">
        <f t="array" ref="N120">IF(OR(L120="",M120=""),"",IFERROR(INDEX($E$2:$E$391,MATCH(1,($A$2:$A$391=L120)*($D$2:$D$391=M120),0)),""))</f>
        <v/>
      </c>
      <c r="O120" s="69">
        <f>IF(OR(L120="",M120=""),"",SUMIFS($J$2:$J$391,$A$2:$A$391,L120,$D$2:$D$391,M120))</f>
        <v/>
      </c>
      <c r="P120" s="6" t="n"/>
    </row>
    <row r="121">
      <c r="A121" s="44" t="inlineStr">
        <is>
          <t>TIPA 312MFGW</t>
        </is>
      </c>
      <c r="B121" s="44" t="inlineStr">
        <is>
          <t>Ext. C (In)</t>
        </is>
      </c>
      <c r="C121" s="43" t="n"/>
      <c r="D121" s="43">
        <f>IF(C121="","",IFERROR(_xlfn.XLOOKUP(C121,HELPER!$A$2:$A$76,HELPER!$B$2:$B$76,""),D121))</f>
        <v/>
      </c>
      <c r="E121" s="43">
        <f>IFERROR(_xlfn.XLOOKUP(D121,HELPER!$B:$B,HELPER!$C:$C,""),"")</f>
        <v/>
      </c>
      <c r="F121" s="42">
        <f>IFERROR(_xlfn.XLOOKUP(D121,HELPER!$B:$B,HELPER!$D:$D,""),"")</f>
        <v/>
      </c>
      <c r="G121" s="42" t="n">
        <v>8</v>
      </c>
      <c r="I121" s="63">
        <f>IF(AND(H121&lt;&gt;"",IFERROR(_xlfn.XLOOKUP(D121,HELPER!$B:$B,HELPER!$E:$E,""),"")=""),"Missing price",IFERROR(_xlfn.XLOOKUP(D121,HELPER!$B:$B,HELPER!$E:$E,"")," "))</f>
        <v/>
      </c>
      <c r="J121" s="72">
        <f>IFERROR(H121*(IF(G121=8,I121*HELPER!$G$2,BOM!I121*HELPER!$G$3))," ")</f>
        <v/>
      </c>
      <c r="K121" s="6" t="n"/>
      <c r="L121" s="14">
        <f t="array" ref="L121">IFERROR(_xlfn.LET(_xlpm.pairs,_xlfn._xlws.FILTER($A$2:$D$391,($A$2:$A$391&lt;&gt;"")*(TRIM($D$2:$D$391)&lt;&gt;"")),_xlpm.uniquePairs,_xlfn.UNIQUE(_xlfn.HSTACK(INDEX(_xlpm.pairs,,1),INDEX(_xlpm.pairs,,4))),_xlpm.sortedPairs,_xlfn._xlws.SORT(_xlpm.uniquePairs,1,1),IF(ROW()-1&lt;=ROWS(_xlpm.sortedPairs),INDEX(_xlpm.sortedPairs,ROW()-1,1),"")),"")</f>
        <v/>
      </c>
      <c r="M121" s="15">
        <f t="array" ref="M121">IFERROR(_xlfn.LET(_xlpm.pairs,_xlfn._xlws.FILTER($A$2:$D$391,($A$2:$A$391&lt;&gt;"")*(TRIM($D$2:$D$391)&lt;&gt;"")),_xlpm.uniquePairs,_xlfn.UNIQUE(_xlfn.HSTACK(INDEX(_xlpm.pairs,,1),INDEX(_xlpm.pairs,,4))),_xlpm.sortedPairs,_xlfn._xlws.SORT(_xlpm.uniquePairs,1,1),IF(ROW()-1&lt;=ROWS(_xlpm.sortedPairs),INDEX(_xlpm.sortedPairs,ROW()-1,2),"")),"")</f>
        <v/>
      </c>
      <c r="N121" s="15">
        <f t="array" ref="N121">IF(OR(L121="",M121=""),"",IFERROR(INDEX($E$2:$E$391,MATCH(1,($A$2:$A$391=L121)*($D$2:$D$391=M121),0)),""))</f>
        <v/>
      </c>
      <c r="O121" s="69">
        <f>IF(OR(L121="",M121=""),"",SUMIFS($J$2:$J$391,$A$2:$A$391,L121,$D$2:$D$391,M121))</f>
        <v/>
      </c>
      <c r="P121" s="6" t="n"/>
    </row>
    <row r="122">
      <c r="A122" s="44" t="inlineStr">
        <is>
          <t>TIPA 306M</t>
        </is>
      </c>
      <c r="B122" s="44" t="inlineStr">
        <is>
          <t>Ext. A (Out - Chillroll)</t>
        </is>
      </c>
      <c r="C122" s="43" t="inlineStr">
        <is>
          <t>PLA</t>
        </is>
      </c>
      <c r="D122" s="43">
        <f>IF(C122="","",IFERROR(_xlfn.XLOOKUP(C122,HELPER!$A$2:$A$76,HELPER!$B$2:$B$76,""),D122))</f>
        <v/>
      </c>
      <c r="E122" s="43">
        <f>IFERROR(_xlfn.XLOOKUP(D122,HELPER!$B:$B,HELPER!$C:$C,""),"")</f>
        <v/>
      </c>
      <c r="F122" s="42">
        <f>IFERROR(_xlfn.XLOOKUP(D122,HELPER!$B:$B,HELPER!$D:$D,""),"")</f>
        <v/>
      </c>
      <c r="G122" s="42" t="n">
        <v>8</v>
      </c>
      <c r="H122" s="523" t="n">
        <v>0.795</v>
      </c>
      <c r="I122" s="63">
        <f>IF(AND(H122&lt;&gt;"",IFERROR(_xlfn.XLOOKUP(D122,HELPER!$B:$B,HELPER!$E:$E,""),"")=""),"Missing price",IFERROR(_xlfn.XLOOKUP(D122,HELPER!$B:$B,HELPER!$E:$E,"")," "))</f>
        <v/>
      </c>
      <c r="J122" s="72">
        <f>IFERROR(H122*(IF(G122=8,I122*HELPER!$G$2,BOM!I122*HELPER!$G$3))," ")</f>
        <v/>
      </c>
      <c r="K122" s="6" t="n"/>
      <c r="L122" s="14">
        <f t="array" ref="L122">IFERROR(_xlfn.LET(_xlpm.pairs,_xlfn._xlws.FILTER($A$2:$D$391,($A$2:$A$391&lt;&gt;"")*(TRIM($D$2:$D$391)&lt;&gt;"")),_xlpm.uniquePairs,_xlfn.UNIQUE(_xlfn.HSTACK(INDEX(_xlpm.pairs,,1),INDEX(_xlpm.pairs,,4))),_xlpm.sortedPairs,_xlfn._xlws.SORT(_xlpm.uniquePairs,1,1),IF(ROW()-1&lt;=ROWS(_xlpm.sortedPairs),INDEX(_xlpm.sortedPairs,ROW()-1,1),"")),"")</f>
        <v/>
      </c>
      <c r="M122" s="15">
        <f t="array" ref="M122">IFERROR(_xlfn.LET(_xlpm.pairs,_xlfn._xlws.FILTER($A$2:$D$391,($A$2:$A$391&lt;&gt;"")*(TRIM($D$2:$D$391)&lt;&gt;"")),_xlpm.uniquePairs,_xlfn.UNIQUE(_xlfn.HSTACK(INDEX(_xlpm.pairs,,1),INDEX(_xlpm.pairs,,4))),_xlpm.sortedPairs,_xlfn._xlws.SORT(_xlpm.uniquePairs,1,1),IF(ROW()-1&lt;=ROWS(_xlpm.sortedPairs),INDEX(_xlpm.sortedPairs,ROW()-1,2),"")),"")</f>
        <v/>
      </c>
      <c r="N122" s="15">
        <f t="array" ref="N122">IF(OR(L122="",M122=""),"",IFERROR(INDEX($E$2:$E$391,MATCH(1,($A$2:$A$391=L122)*($D$2:$D$391=M122),0)),""))</f>
        <v/>
      </c>
      <c r="O122" s="69">
        <f>IF(OR(L122="",M122=""),"",SUMIFS($J$2:$J$391,$A$2:$A$391,L122,$D$2:$D$391,M122))</f>
        <v/>
      </c>
      <c r="P122" s="6" t="n"/>
    </row>
    <row r="123">
      <c r="A123" s="44" t="inlineStr">
        <is>
          <t>TIPA 306M</t>
        </is>
      </c>
      <c r="B123" s="44" t="inlineStr">
        <is>
          <t>Ext. A (Out - Chillroll)</t>
        </is>
      </c>
      <c r="C123" s="43" t="inlineStr">
        <is>
          <t>PCL</t>
        </is>
      </c>
      <c r="D123" s="43">
        <f>IF(C123="","",IFERROR(_xlfn.XLOOKUP(C123,HELPER!$A$2:$A$76,HELPER!$B$2:$B$76,""),D123))</f>
        <v/>
      </c>
      <c r="E123" s="43">
        <f>IFERROR(_xlfn.XLOOKUP(D123,HELPER!$B:$B,HELPER!$C:$C,""),"")</f>
        <v/>
      </c>
      <c r="F123" s="42">
        <f>IFERROR(_xlfn.XLOOKUP(D123,HELPER!$B:$B,HELPER!$D:$D,""),"")</f>
        <v/>
      </c>
      <c r="G123" s="42" t="n">
        <v>8</v>
      </c>
      <c r="H123" s="523" t="n">
        <v>0.19</v>
      </c>
      <c r="I123" s="63">
        <f>IF(AND(H123&lt;&gt;"",IFERROR(_xlfn.XLOOKUP(D123,HELPER!$B:$B,HELPER!$E:$E,""),"")=""),"Missing price",IFERROR(_xlfn.XLOOKUP(D123,HELPER!$B:$B,HELPER!$E:$E,"")," "))</f>
        <v/>
      </c>
      <c r="J123" s="72">
        <f>IFERROR(H123*(IF(G123=8,I123*HELPER!$G$2,BOM!I123*HELPER!$G$3))," ")</f>
        <v/>
      </c>
      <c r="K123" s="6" t="n"/>
      <c r="L123" s="14">
        <f t="array" ref="L123">IFERROR(_xlfn.LET(_xlpm.pairs,_xlfn._xlws.FILTER($A$2:$D$391,($A$2:$A$391&lt;&gt;"")*(TRIM($D$2:$D$391)&lt;&gt;"")),_xlpm.uniquePairs,_xlfn.UNIQUE(_xlfn.HSTACK(INDEX(_xlpm.pairs,,1),INDEX(_xlpm.pairs,,4))),_xlpm.sortedPairs,_xlfn._xlws.SORT(_xlpm.uniquePairs,1,1),IF(ROW()-1&lt;=ROWS(_xlpm.sortedPairs),INDEX(_xlpm.sortedPairs,ROW()-1,1),"")),"")</f>
        <v/>
      </c>
      <c r="M123" s="15">
        <f t="array" ref="M123">IFERROR(_xlfn.LET(_xlpm.pairs,_xlfn._xlws.FILTER($A$2:$D$391,($A$2:$A$391&lt;&gt;"")*(TRIM($D$2:$D$391)&lt;&gt;"")),_xlpm.uniquePairs,_xlfn.UNIQUE(_xlfn.HSTACK(INDEX(_xlpm.pairs,,1),INDEX(_xlpm.pairs,,4))),_xlpm.sortedPairs,_xlfn._xlws.SORT(_xlpm.uniquePairs,1,1),IF(ROW()-1&lt;=ROWS(_xlpm.sortedPairs),INDEX(_xlpm.sortedPairs,ROW()-1,2),"")),"")</f>
        <v/>
      </c>
      <c r="N123" s="15">
        <f t="array" ref="N123">IF(OR(L123="",M123=""),"",IFERROR(INDEX($E$2:$E$391,MATCH(1,($A$2:$A$391=L123)*($D$2:$D$391=M123),0)),""))</f>
        <v/>
      </c>
      <c r="O123" s="69">
        <f>IF(OR(L123="",M123=""),"",SUMIFS($J$2:$J$391,$A$2:$A$391,L123,$D$2:$D$391,M123))</f>
        <v/>
      </c>
      <c r="P123" s="6" t="n"/>
    </row>
    <row r="124">
      <c r="A124" s="44" t="inlineStr">
        <is>
          <t>TIPA 306M</t>
        </is>
      </c>
      <c r="B124" s="44" t="inlineStr">
        <is>
          <t>Ext. A (Out - Chillroll)</t>
        </is>
      </c>
      <c r="C124" s="43" t="inlineStr">
        <is>
          <t>AO-PBS</t>
        </is>
      </c>
      <c r="D124" s="43">
        <f>IF(C124="","",IFERROR(_xlfn.XLOOKUP(C124,HELPER!$A$2:$A$76,HELPER!$B$2:$B$76,""),D124))</f>
        <v/>
      </c>
      <c r="E124" s="43">
        <f>IFERROR(_xlfn.XLOOKUP(D124,HELPER!$B:$B,HELPER!$C:$C,""),"")</f>
        <v/>
      </c>
      <c r="F124" s="42">
        <f>IFERROR(_xlfn.XLOOKUP(D124,HELPER!$B:$B,HELPER!$D:$D,""),"")</f>
        <v/>
      </c>
      <c r="G124" s="42" t="n">
        <v>8</v>
      </c>
      <c r="H124" s="523" t="n">
        <v>0.015</v>
      </c>
      <c r="I124" s="63">
        <f>IF(AND(H124&lt;&gt;"",IFERROR(_xlfn.XLOOKUP(D124,HELPER!$B:$B,HELPER!$E:$E,""),"")=""),"Missing price",IFERROR(_xlfn.XLOOKUP(D124,HELPER!$B:$B,HELPER!$E:$E,"")," "))</f>
        <v/>
      </c>
      <c r="J124" s="72">
        <f>IFERROR(H124*(IF(G124=8,I124*HELPER!$G$2,BOM!I124*HELPER!$G$3))," ")</f>
        <v/>
      </c>
      <c r="K124" s="6" t="n"/>
      <c r="L124" s="14">
        <f t="array" ref="L124">IFERROR(_xlfn.LET(_xlpm.pairs,_xlfn._xlws.FILTER($A$2:$D$391,($A$2:$A$391&lt;&gt;"")*(TRIM($D$2:$D$391)&lt;&gt;"")),_xlpm.uniquePairs,_xlfn.UNIQUE(_xlfn.HSTACK(INDEX(_xlpm.pairs,,1),INDEX(_xlpm.pairs,,4))),_xlpm.sortedPairs,_xlfn._xlws.SORT(_xlpm.uniquePairs,1,1),IF(ROW()-1&lt;=ROWS(_xlpm.sortedPairs),INDEX(_xlpm.sortedPairs,ROW()-1,1),"")),"")</f>
        <v/>
      </c>
      <c r="M124" s="15">
        <f t="array" ref="M124">IFERROR(_xlfn.LET(_xlpm.pairs,_xlfn._xlws.FILTER($A$2:$D$391,($A$2:$A$391&lt;&gt;"")*(TRIM($D$2:$D$391)&lt;&gt;"")),_xlpm.uniquePairs,_xlfn.UNIQUE(_xlfn.HSTACK(INDEX(_xlpm.pairs,,1),INDEX(_xlpm.pairs,,4))),_xlpm.sortedPairs,_xlfn._xlws.SORT(_xlpm.uniquePairs,1,1),IF(ROW()-1&lt;=ROWS(_xlpm.sortedPairs),INDEX(_xlpm.sortedPairs,ROW()-1,2),"")),"")</f>
        <v/>
      </c>
      <c r="N124" s="15">
        <f t="array" ref="N124">IF(OR(L124="",M124=""),"",IFERROR(INDEX($E$2:$E$391,MATCH(1,($A$2:$A$391=L124)*($D$2:$D$391=M124),0)),""))</f>
        <v/>
      </c>
      <c r="O124" s="69">
        <f>IF(OR(L124="",M124=""),"",SUMIFS($J$2:$J$391,$A$2:$A$391,L124,$D$2:$D$391,M124))</f>
        <v/>
      </c>
      <c r="P124" s="6" t="n"/>
    </row>
    <row r="125">
      <c r="A125" s="44" t="inlineStr">
        <is>
          <t>TIPA 306M</t>
        </is>
      </c>
      <c r="B125" s="44" t="inlineStr">
        <is>
          <t>Ext. A (Out - Chillroll)</t>
        </is>
      </c>
      <c r="C125" s="43" t="n"/>
      <c r="D125" s="43">
        <f>IF(C125="","",IFERROR(_xlfn.XLOOKUP(C125,HELPER!$A$2:$A$76,HELPER!$B$2:$B$76,""),D125))</f>
        <v/>
      </c>
      <c r="E125" s="43">
        <f>IFERROR(_xlfn.XLOOKUP(D125,HELPER!$B:$B,HELPER!$C:$C,""),"")</f>
        <v/>
      </c>
      <c r="F125" s="42">
        <f>IFERROR(_xlfn.XLOOKUP(D125,HELPER!$B:$B,HELPER!$D:$D,""),"")</f>
        <v/>
      </c>
      <c r="G125" s="42" t="n">
        <v>8</v>
      </c>
      <c r="I125" s="63">
        <f>IF(AND(H125&lt;&gt;"",IFERROR(_xlfn.XLOOKUP(D125,HELPER!$B:$B,HELPER!$E:$E,""),"")=""),"Missing price",IFERROR(_xlfn.XLOOKUP(D125,HELPER!$B:$B,HELPER!$E:$E,"")," "))</f>
        <v/>
      </c>
      <c r="J125" s="72">
        <f>IFERROR(H125*(IF(G125=8,I125*HELPER!$G$2,BOM!I125*HELPER!$G$3))," ")</f>
        <v/>
      </c>
      <c r="K125" s="6" t="n"/>
      <c r="L125" s="14">
        <f t="array" ref="L125">IFERROR(_xlfn.LET(_xlpm.pairs,_xlfn._xlws.FILTER($A$2:$D$391,($A$2:$A$391&lt;&gt;"")*(TRIM($D$2:$D$391)&lt;&gt;"")),_xlpm.uniquePairs,_xlfn.UNIQUE(_xlfn.HSTACK(INDEX(_xlpm.pairs,,1),INDEX(_xlpm.pairs,,4))),_xlpm.sortedPairs,_xlfn._xlws.SORT(_xlpm.uniquePairs,1,1),IF(ROW()-1&lt;=ROWS(_xlpm.sortedPairs),INDEX(_xlpm.sortedPairs,ROW()-1,1),"")),"")</f>
        <v/>
      </c>
      <c r="M125" s="15">
        <f t="array" ref="M125">IFERROR(_xlfn.LET(_xlpm.pairs,_xlfn._xlws.FILTER($A$2:$D$391,($A$2:$A$391&lt;&gt;"")*(TRIM($D$2:$D$391)&lt;&gt;"")),_xlpm.uniquePairs,_xlfn.UNIQUE(_xlfn.HSTACK(INDEX(_xlpm.pairs,,1),INDEX(_xlpm.pairs,,4))),_xlpm.sortedPairs,_xlfn._xlws.SORT(_xlpm.uniquePairs,1,1),IF(ROW()-1&lt;=ROWS(_xlpm.sortedPairs),INDEX(_xlpm.sortedPairs,ROW()-1,2),"")),"")</f>
        <v/>
      </c>
      <c r="N125" s="15">
        <f t="array" ref="N125">IF(OR(L125="",M125=""),"",IFERROR(INDEX($E$2:$E$391,MATCH(1,($A$2:$A$391=L125)*($D$2:$D$391=M125),0)),""))</f>
        <v/>
      </c>
      <c r="O125" s="69">
        <f>IF(OR(L125="",M125=""),"",SUMIFS($J$2:$J$391,$A$2:$A$391,L125,$D$2:$D$391,M125))</f>
        <v/>
      </c>
      <c r="P125" s="6" t="n"/>
    </row>
    <row r="126">
      <c r="A126" s="44" t="inlineStr">
        <is>
          <t>TIPA 306M</t>
        </is>
      </c>
      <c r="B126" s="44" t="inlineStr">
        <is>
          <t>Ext. A (Out - Chillroll)</t>
        </is>
      </c>
      <c r="C126" s="43" t="n"/>
      <c r="D126" s="43">
        <f>IF(C126="","",IFERROR(_xlfn.XLOOKUP(C126,HELPER!$A$2:$A$76,HELPER!$B$2:$B$76,""),D126))</f>
        <v/>
      </c>
      <c r="E126" s="43">
        <f>IFERROR(_xlfn.XLOOKUP(D126,HELPER!$B:$B,HELPER!$C:$C,""),"")</f>
        <v/>
      </c>
      <c r="F126" s="42">
        <f>IFERROR(_xlfn.XLOOKUP(D126,HELPER!$B:$B,HELPER!$D:$D,""),"")</f>
        <v/>
      </c>
      <c r="G126" s="42" t="n">
        <v>8</v>
      </c>
      <c r="I126" s="63">
        <f>IF(AND(H126&lt;&gt;"",IFERROR(_xlfn.XLOOKUP(D126,HELPER!$B:$B,HELPER!$E:$E,""),"")=""),"Missing price",IFERROR(_xlfn.XLOOKUP(D126,HELPER!$B:$B,HELPER!$E:$E,"")," "))</f>
        <v/>
      </c>
      <c r="J126" s="72">
        <f>IFERROR(H126*(IF(G126=8,I126*HELPER!$G$2,BOM!I126*HELPER!$G$3))," ")</f>
        <v/>
      </c>
      <c r="K126" s="6" t="n"/>
      <c r="L126" s="14">
        <f t="array" ref="L126">IFERROR(_xlfn.LET(_xlpm.pairs,_xlfn._xlws.FILTER($A$2:$D$391,($A$2:$A$391&lt;&gt;"")*(TRIM($D$2:$D$391)&lt;&gt;"")),_xlpm.uniquePairs,_xlfn.UNIQUE(_xlfn.HSTACK(INDEX(_xlpm.pairs,,1),INDEX(_xlpm.pairs,,4))),_xlpm.sortedPairs,_xlfn._xlws.SORT(_xlpm.uniquePairs,1,1),IF(ROW()-1&lt;=ROWS(_xlpm.sortedPairs),INDEX(_xlpm.sortedPairs,ROW()-1,1),"")),"")</f>
        <v/>
      </c>
      <c r="M126" s="15">
        <f t="array" ref="M126">IFERROR(_xlfn.LET(_xlpm.pairs,_xlfn._xlws.FILTER($A$2:$D$391,($A$2:$A$391&lt;&gt;"")*(TRIM($D$2:$D$391)&lt;&gt;"")),_xlpm.uniquePairs,_xlfn.UNIQUE(_xlfn.HSTACK(INDEX(_xlpm.pairs,,1),INDEX(_xlpm.pairs,,4))),_xlpm.sortedPairs,_xlfn._xlws.SORT(_xlpm.uniquePairs,1,1),IF(ROW()-1&lt;=ROWS(_xlpm.sortedPairs),INDEX(_xlpm.sortedPairs,ROW()-1,2),"")),"")</f>
        <v/>
      </c>
      <c r="N126" s="15">
        <f t="array" ref="N126">IF(OR(L126="",M126=""),"",IFERROR(INDEX($E$2:$E$391,MATCH(1,($A$2:$A$391=L126)*($D$2:$D$391=M126),0)),""))</f>
        <v/>
      </c>
      <c r="O126" s="69">
        <f>IF(OR(L126="",M126=""),"",SUMIFS($J$2:$J$391,$A$2:$A$391,L126,$D$2:$D$391,M126))</f>
        <v/>
      </c>
      <c r="P126" s="6" t="n"/>
    </row>
    <row r="127">
      <c r="A127" s="44" t="inlineStr">
        <is>
          <t>TIPA 306M</t>
        </is>
      </c>
      <c r="B127" s="44" t="inlineStr">
        <is>
          <t>Ext. A (Out - Chillroll)</t>
        </is>
      </c>
      <c r="C127" s="43" t="n"/>
      <c r="D127" s="43">
        <f>IF(C127="","",IFERROR(_xlfn.XLOOKUP(C127,HELPER!$A$2:$A$76,HELPER!$B$2:$B$76,""),D127))</f>
        <v/>
      </c>
      <c r="E127" s="43">
        <f>IFERROR(_xlfn.XLOOKUP(D127,HELPER!$B:$B,HELPER!$C:$C,""),"")</f>
        <v/>
      </c>
      <c r="F127" s="42">
        <f>IFERROR(_xlfn.XLOOKUP(D127,HELPER!$B:$B,HELPER!$D:$D,""),"")</f>
        <v/>
      </c>
      <c r="G127" s="42" t="n">
        <v>8</v>
      </c>
      <c r="I127" s="63">
        <f>IF(AND(H127&lt;&gt;"",IFERROR(_xlfn.XLOOKUP(D127,HELPER!$B:$B,HELPER!$E:$E,""),"")=""),"Missing price",IFERROR(_xlfn.XLOOKUP(D127,HELPER!$B:$B,HELPER!$E:$E,"")," "))</f>
        <v/>
      </c>
      <c r="J127" s="72">
        <f>IFERROR(H127*(IF(G127=8,I127*HELPER!$G$2,BOM!I127*HELPER!$G$3))," ")</f>
        <v/>
      </c>
      <c r="K127" s="6" t="n"/>
      <c r="L127" s="14">
        <f t="array" ref="L127">IFERROR(_xlfn.LET(_xlpm.pairs,_xlfn._xlws.FILTER($A$2:$D$391,($A$2:$A$391&lt;&gt;"")*(TRIM($D$2:$D$391)&lt;&gt;"")),_xlpm.uniquePairs,_xlfn.UNIQUE(_xlfn.HSTACK(INDEX(_xlpm.pairs,,1),INDEX(_xlpm.pairs,,4))),_xlpm.sortedPairs,_xlfn._xlws.SORT(_xlpm.uniquePairs,1,1),IF(ROW()-1&lt;=ROWS(_xlpm.sortedPairs),INDEX(_xlpm.sortedPairs,ROW()-1,1),"")),"")</f>
        <v/>
      </c>
      <c r="M127" s="15">
        <f t="array" ref="M127">IFERROR(_xlfn.LET(_xlpm.pairs,_xlfn._xlws.FILTER($A$2:$D$391,($A$2:$A$391&lt;&gt;"")*(TRIM($D$2:$D$391)&lt;&gt;"")),_xlpm.uniquePairs,_xlfn.UNIQUE(_xlfn.HSTACK(INDEX(_xlpm.pairs,,1),INDEX(_xlpm.pairs,,4))),_xlpm.sortedPairs,_xlfn._xlws.SORT(_xlpm.uniquePairs,1,1),IF(ROW()-1&lt;=ROWS(_xlpm.sortedPairs),INDEX(_xlpm.sortedPairs,ROW()-1,2),"")),"")</f>
        <v/>
      </c>
      <c r="N127" s="15">
        <f t="array" ref="N127">IF(OR(L127="",M127=""),"",IFERROR(INDEX($E$2:$E$391,MATCH(1,($A$2:$A$391=L127)*($D$2:$D$391=M127),0)),""))</f>
        <v/>
      </c>
      <c r="O127" s="69">
        <f>IF(OR(L127="",M127=""),"",SUMIFS($J$2:$J$391,$A$2:$A$391,L127,$D$2:$D$391,M127))</f>
        <v/>
      </c>
      <c r="P127" s="6" t="n"/>
    </row>
    <row r="128">
      <c r="A128" s="44" t="inlineStr">
        <is>
          <t>TIPA 306M</t>
        </is>
      </c>
      <c r="B128" s="44" t="inlineStr">
        <is>
          <t>Ext. A (Out - Chillroll)</t>
        </is>
      </c>
      <c r="C128" s="43" t="n"/>
      <c r="D128" s="43">
        <f>IF(C128="","",IFERROR(_xlfn.XLOOKUP(C128,HELPER!$A$2:$A$76,HELPER!$B$2:$B$76,""),D128))</f>
        <v/>
      </c>
      <c r="E128" s="43">
        <f>IFERROR(_xlfn.XLOOKUP(D128,HELPER!$B:$B,HELPER!$C:$C,""),"")</f>
        <v/>
      </c>
      <c r="F128" s="42">
        <f>IFERROR(_xlfn.XLOOKUP(D128,HELPER!$B:$B,HELPER!$D:$D,""),"")</f>
        <v/>
      </c>
      <c r="G128" s="42" t="n">
        <v>8</v>
      </c>
      <c r="I128" s="63">
        <f>IF(AND(H128&lt;&gt;"",IFERROR(_xlfn.XLOOKUP(D128,HELPER!$B:$B,HELPER!$E:$E,""),"")=""),"Missing price",IFERROR(_xlfn.XLOOKUP(D128,HELPER!$B:$B,HELPER!$E:$E,"")," "))</f>
        <v/>
      </c>
      <c r="J128" s="72">
        <f>IFERROR(H128*(IF(G128=8,I128*HELPER!$G$2,BOM!I128*HELPER!$G$3))," ")</f>
        <v/>
      </c>
      <c r="K128" s="6" t="n"/>
      <c r="L128" s="14">
        <f t="array" ref="L128">IFERROR(_xlfn.LET(_xlpm.pairs,_xlfn._xlws.FILTER($A$2:$D$391,($A$2:$A$391&lt;&gt;"")*(TRIM($D$2:$D$391)&lt;&gt;"")),_xlpm.uniquePairs,_xlfn.UNIQUE(_xlfn.HSTACK(INDEX(_xlpm.pairs,,1),INDEX(_xlpm.pairs,,4))),_xlpm.sortedPairs,_xlfn._xlws.SORT(_xlpm.uniquePairs,1,1),IF(ROW()-1&lt;=ROWS(_xlpm.sortedPairs),INDEX(_xlpm.sortedPairs,ROW()-1,1),"")),"")</f>
        <v/>
      </c>
      <c r="M128" s="15">
        <f t="array" ref="M128">IFERROR(_xlfn.LET(_xlpm.pairs,_xlfn._xlws.FILTER($A$2:$D$391,($A$2:$A$391&lt;&gt;"")*(TRIM($D$2:$D$391)&lt;&gt;"")),_xlpm.uniquePairs,_xlfn.UNIQUE(_xlfn.HSTACK(INDEX(_xlpm.pairs,,1),INDEX(_xlpm.pairs,,4))),_xlpm.sortedPairs,_xlfn._xlws.SORT(_xlpm.uniquePairs,1,1),IF(ROW()-1&lt;=ROWS(_xlpm.sortedPairs),INDEX(_xlpm.sortedPairs,ROW()-1,2),"")),"")</f>
        <v/>
      </c>
      <c r="N128" s="15">
        <f t="array" ref="N128">IF(OR(L128="",M128=""),"",IFERROR(INDEX($E$2:$E$391,MATCH(1,($A$2:$A$391=L128)*($D$2:$D$391=M128),0)),""))</f>
        <v/>
      </c>
      <c r="O128" s="69">
        <f>IF(OR(L128="",M128=""),"",SUMIFS($J$2:$J$391,$A$2:$A$391,L128,$D$2:$D$391,M128))</f>
        <v/>
      </c>
      <c r="P128" s="6" t="n"/>
    </row>
    <row r="129">
      <c r="A129" s="44" t="inlineStr">
        <is>
          <t>TIPA 306M</t>
        </is>
      </c>
      <c r="B129" s="44" t="inlineStr">
        <is>
          <t>Ext. A (Out - Chillroll)</t>
        </is>
      </c>
      <c r="C129" s="43" t="n"/>
      <c r="D129" s="43">
        <f>IF(C129="","",IFERROR(_xlfn.XLOOKUP(C129,HELPER!$A$2:$A$76,HELPER!$B$2:$B$76,""),D129))</f>
        <v/>
      </c>
      <c r="E129" s="43">
        <f>IFERROR(_xlfn.XLOOKUP(D129,HELPER!$B:$B,HELPER!$C:$C,""),"")</f>
        <v/>
      </c>
      <c r="F129" s="42">
        <f>IFERROR(_xlfn.XLOOKUP(D129,HELPER!$B:$B,HELPER!$D:$D,""),"")</f>
        <v/>
      </c>
      <c r="G129" s="42" t="n">
        <v>8</v>
      </c>
      <c r="I129" s="63">
        <f>IF(AND(H129&lt;&gt;"",IFERROR(_xlfn.XLOOKUP(D129,HELPER!$B:$B,HELPER!$E:$E,""),"")=""),"Missing price",IFERROR(_xlfn.XLOOKUP(D129,HELPER!$B:$B,HELPER!$E:$E,"")," "))</f>
        <v/>
      </c>
      <c r="J129" s="72">
        <f>IFERROR(H129*(IF(G129=8,I129*HELPER!$G$2,BOM!I129*HELPER!$G$3))," ")</f>
        <v/>
      </c>
      <c r="K129" s="6" t="n"/>
      <c r="L129" s="14">
        <f t="array" ref="L129">IFERROR(_xlfn.LET(_xlpm.pairs,_xlfn._xlws.FILTER($A$2:$D$391,($A$2:$A$391&lt;&gt;"")*(TRIM($D$2:$D$391)&lt;&gt;"")),_xlpm.uniquePairs,_xlfn.UNIQUE(_xlfn.HSTACK(INDEX(_xlpm.pairs,,1),INDEX(_xlpm.pairs,,4))),_xlpm.sortedPairs,_xlfn._xlws.SORT(_xlpm.uniquePairs,1,1),IF(ROW()-1&lt;=ROWS(_xlpm.sortedPairs),INDEX(_xlpm.sortedPairs,ROW()-1,1),"")),"")</f>
        <v/>
      </c>
      <c r="M129" s="15">
        <f t="array" ref="M129">IFERROR(_xlfn.LET(_xlpm.pairs,_xlfn._xlws.FILTER($A$2:$D$391,($A$2:$A$391&lt;&gt;"")*(TRIM($D$2:$D$391)&lt;&gt;"")),_xlpm.uniquePairs,_xlfn.UNIQUE(_xlfn.HSTACK(INDEX(_xlpm.pairs,,1),INDEX(_xlpm.pairs,,4))),_xlpm.sortedPairs,_xlfn._xlws.SORT(_xlpm.uniquePairs,1,1),IF(ROW()-1&lt;=ROWS(_xlpm.sortedPairs),INDEX(_xlpm.sortedPairs,ROW()-1,2),"")),"")</f>
        <v/>
      </c>
      <c r="N129" s="15">
        <f t="array" ref="N129">IF(OR(L129="",M129=""),"",IFERROR(INDEX($E$2:$E$391,MATCH(1,($A$2:$A$391=L129)*($D$2:$D$391=M129),0)),""))</f>
        <v/>
      </c>
      <c r="O129" s="69">
        <f>IF(OR(L129="",M129=""),"",SUMIFS($J$2:$J$391,$A$2:$A$391,L129,$D$2:$D$391,M129))</f>
        <v/>
      </c>
      <c r="P129" s="6" t="n"/>
    </row>
    <row r="130">
      <c r="A130" s="44" t="inlineStr">
        <is>
          <t>TIPA 306M</t>
        </is>
      </c>
      <c r="B130" s="44" t="inlineStr">
        <is>
          <t>Ext. A (Out - Chillroll)</t>
        </is>
      </c>
      <c r="C130" s="43" t="n"/>
      <c r="D130" s="43">
        <f>IF(C130="","",IFERROR(_xlfn.XLOOKUP(C130,HELPER!$A$2:$A$76,HELPER!$B$2:$B$76,""),D130))</f>
        <v/>
      </c>
      <c r="E130" s="43">
        <f>IFERROR(_xlfn.XLOOKUP(D130,HELPER!$B:$B,HELPER!$C:$C,""),"")</f>
        <v/>
      </c>
      <c r="F130" s="42">
        <f>IFERROR(_xlfn.XLOOKUP(D130,HELPER!$B:$B,HELPER!$D:$D,""),"")</f>
        <v/>
      </c>
      <c r="G130" s="42" t="n">
        <v>8</v>
      </c>
      <c r="I130" s="63">
        <f>IF(AND(H130&lt;&gt;"",IFERROR(_xlfn.XLOOKUP(D130,HELPER!$B:$B,HELPER!$E:$E,""),"")=""),"Missing price",IFERROR(_xlfn.XLOOKUP(D130,HELPER!$B:$B,HELPER!$E:$E,"")," "))</f>
        <v/>
      </c>
      <c r="J130" s="72">
        <f>IFERROR(H130*(IF(G130=8,I130*HELPER!$G$2,BOM!I130*HELPER!$G$3))," ")</f>
        <v/>
      </c>
      <c r="K130" s="6" t="n"/>
      <c r="L130" s="14">
        <f t="array" ref="L130">IFERROR(_xlfn.LET(_xlpm.pairs,_xlfn._xlws.FILTER($A$2:$D$391,($A$2:$A$391&lt;&gt;"")*(TRIM($D$2:$D$391)&lt;&gt;"")),_xlpm.uniquePairs,_xlfn.UNIQUE(_xlfn.HSTACK(INDEX(_xlpm.pairs,,1),INDEX(_xlpm.pairs,,4))),_xlpm.sortedPairs,_xlfn._xlws.SORT(_xlpm.uniquePairs,1,1),IF(ROW()-1&lt;=ROWS(_xlpm.sortedPairs),INDEX(_xlpm.sortedPairs,ROW()-1,1),"")),"")</f>
        <v/>
      </c>
      <c r="M130" s="15">
        <f t="array" ref="M130">IFERROR(_xlfn.LET(_xlpm.pairs,_xlfn._xlws.FILTER($A$2:$D$391,($A$2:$A$391&lt;&gt;"")*(TRIM($D$2:$D$391)&lt;&gt;"")),_xlpm.uniquePairs,_xlfn.UNIQUE(_xlfn.HSTACK(INDEX(_xlpm.pairs,,1),INDEX(_xlpm.pairs,,4))),_xlpm.sortedPairs,_xlfn._xlws.SORT(_xlpm.uniquePairs,1,1),IF(ROW()-1&lt;=ROWS(_xlpm.sortedPairs),INDEX(_xlpm.sortedPairs,ROW()-1,2),"")),"")</f>
        <v/>
      </c>
      <c r="N130" s="15">
        <f t="array" ref="N130">IF(OR(L130="",M130=""),"",IFERROR(INDEX($E$2:$E$391,MATCH(1,($A$2:$A$391=L130)*($D$2:$D$391=M130),0)),""))</f>
        <v/>
      </c>
      <c r="O130" s="69">
        <f>IF(OR(L130="",M130=""),"",SUMIFS($J$2:$J$391,$A$2:$A$391,L130,$D$2:$D$391,M130))</f>
        <v/>
      </c>
      <c r="P130" s="6" t="n"/>
    </row>
    <row r="131">
      <c r="A131" s="44" t="inlineStr">
        <is>
          <t>TIPA 306M</t>
        </is>
      </c>
      <c r="B131" s="44" t="inlineStr">
        <is>
          <t>Ext. A (Out - Chillroll)</t>
        </is>
      </c>
      <c r="C131" s="43" t="n"/>
      <c r="D131" s="43">
        <f>IF(C131="","",IFERROR(_xlfn.XLOOKUP(C131,HELPER!$A$2:$A$76,HELPER!$B$2:$B$76,""),D131))</f>
        <v/>
      </c>
      <c r="E131" s="43">
        <f>IFERROR(_xlfn.XLOOKUP(D131,HELPER!$B:$B,HELPER!$C:$C,""),"")</f>
        <v/>
      </c>
      <c r="F131" s="42">
        <f>IFERROR(_xlfn.XLOOKUP(D131,HELPER!$B:$B,HELPER!$D:$D,""),"")</f>
        <v/>
      </c>
      <c r="G131" s="42" t="n">
        <v>8</v>
      </c>
      <c r="I131" s="63">
        <f>IF(AND(H131&lt;&gt;"",IFERROR(_xlfn.XLOOKUP(D131,HELPER!$B:$B,HELPER!$E:$E,""),"")=""),"Missing price",IFERROR(_xlfn.XLOOKUP(D131,HELPER!$B:$B,HELPER!$E:$E,"")," "))</f>
        <v/>
      </c>
      <c r="J131" s="72">
        <f>IFERROR(H131*(IF(G131=8,I131*HELPER!$G$2,BOM!I131*HELPER!$G$3))," ")</f>
        <v/>
      </c>
      <c r="K131" s="6" t="n"/>
      <c r="L131" s="14">
        <f t="array" ref="L131">IFERROR(_xlfn.LET(_xlpm.pairs,_xlfn._xlws.FILTER($A$2:$D$391,($A$2:$A$391&lt;&gt;"")*(TRIM($D$2:$D$391)&lt;&gt;"")),_xlpm.uniquePairs,_xlfn.UNIQUE(_xlfn.HSTACK(INDEX(_xlpm.pairs,,1),INDEX(_xlpm.pairs,,4))),_xlpm.sortedPairs,_xlfn._xlws.SORT(_xlpm.uniquePairs,1,1),IF(ROW()-1&lt;=ROWS(_xlpm.sortedPairs),INDEX(_xlpm.sortedPairs,ROW()-1,1),"")),"")</f>
        <v/>
      </c>
      <c r="M131" s="15">
        <f t="array" ref="M131">IFERROR(_xlfn.LET(_xlpm.pairs,_xlfn._xlws.FILTER($A$2:$D$391,($A$2:$A$391&lt;&gt;"")*(TRIM($D$2:$D$391)&lt;&gt;"")),_xlpm.uniquePairs,_xlfn.UNIQUE(_xlfn.HSTACK(INDEX(_xlpm.pairs,,1),INDEX(_xlpm.pairs,,4))),_xlpm.sortedPairs,_xlfn._xlws.SORT(_xlpm.uniquePairs,1,1),IF(ROW()-1&lt;=ROWS(_xlpm.sortedPairs),INDEX(_xlpm.sortedPairs,ROW()-1,2),"")),"")</f>
        <v/>
      </c>
      <c r="N131" s="15">
        <f t="array" ref="N131">IF(OR(L131="",M131=""),"",IFERROR(INDEX($E$2:$E$391,MATCH(1,($A$2:$A$391=L131)*($D$2:$D$391=M131),0)),""))</f>
        <v/>
      </c>
      <c r="O131" s="69">
        <f>IF(OR(L131="",M131=""),"",SUMIFS($J$2:$J$391,$A$2:$A$391,L131,$D$2:$D$391,M131))</f>
        <v/>
      </c>
      <c r="P131" s="6" t="n"/>
    </row>
    <row r="132">
      <c r="A132" s="44" t="inlineStr">
        <is>
          <t>TIPA 306M</t>
        </is>
      </c>
      <c r="B132" s="44" t="inlineStr">
        <is>
          <t xml:space="preserve">Ext. B </t>
        </is>
      </c>
      <c r="C132" s="43" t="n"/>
      <c r="D132" s="43">
        <f>IF(C132="","",IFERROR(_xlfn.XLOOKUP(C132,HELPER!$A$2:$A$76,HELPER!$B$2:$B$76,""),D132))</f>
        <v/>
      </c>
      <c r="E132" s="43">
        <f>IFERROR(_xlfn.XLOOKUP(D132,HELPER!$B:$B,HELPER!$C:$C,""),"")</f>
        <v/>
      </c>
      <c r="F132" s="42">
        <f>IFERROR(_xlfn.XLOOKUP(D132,HELPER!$B:$B,HELPER!$D:$D,""),"")</f>
        <v/>
      </c>
      <c r="G132" s="42" t="n">
        <v>24</v>
      </c>
      <c r="I132" s="63">
        <f>IF(AND(H132&lt;&gt;"",IFERROR(_xlfn.XLOOKUP(D132,HELPER!$B:$B,HELPER!$E:$E,""),"")=""),"Missing price",IFERROR(_xlfn.XLOOKUP(D132,HELPER!$B:$B,HELPER!$E:$E,"")," "))</f>
        <v/>
      </c>
      <c r="J132" s="72">
        <f>IFERROR(H132*(IF(G132=8,I132*HELPER!$G$2,BOM!I132*HELPER!$G$3))," ")</f>
        <v/>
      </c>
      <c r="K132" s="6" t="n"/>
      <c r="L132" s="14">
        <f t="array" ref="L132">IFERROR(_xlfn.LET(_xlpm.pairs,_xlfn._xlws.FILTER($A$2:$D$391,($A$2:$A$391&lt;&gt;"")*(TRIM($D$2:$D$391)&lt;&gt;"")),_xlpm.uniquePairs,_xlfn.UNIQUE(_xlfn.HSTACK(INDEX(_xlpm.pairs,,1),INDEX(_xlpm.pairs,,4))),_xlpm.sortedPairs,_xlfn._xlws.SORT(_xlpm.uniquePairs,1,1),IF(ROW()-1&lt;=ROWS(_xlpm.sortedPairs),INDEX(_xlpm.sortedPairs,ROW()-1,1),"")),"")</f>
        <v/>
      </c>
      <c r="M132" s="15">
        <f t="array" ref="M132">IFERROR(_xlfn.LET(_xlpm.pairs,_xlfn._xlws.FILTER($A$2:$D$391,($A$2:$A$391&lt;&gt;"")*(TRIM($D$2:$D$391)&lt;&gt;"")),_xlpm.uniquePairs,_xlfn.UNIQUE(_xlfn.HSTACK(INDEX(_xlpm.pairs,,1),INDEX(_xlpm.pairs,,4))),_xlpm.sortedPairs,_xlfn._xlws.SORT(_xlpm.uniquePairs,1,1),IF(ROW()-1&lt;=ROWS(_xlpm.sortedPairs),INDEX(_xlpm.sortedPairs,ROW()-1,2),"")),"")</f>
        <v/>
      </c>
      <c r="N132" s="15">
        <f t="array" ref="N132">IF(OR(L132="",M132=""),"",IFERROR(INDEX($E$2:$E$391,MATCH(1,($A$2:$A$391=L132)*($D$2:$D$391=M132),0)),""))</f>
        <v/>
      </c>
      <c r="O132" s="69">
        <f>IF(OR(L132="",M132=""),"",SUMIFS($J$2:$J$391,$A$2:$A$391,L132,$D$2:$D$391,M132))</f>
        <v/>
      </c>
      <c r="P132" s="6" t="n"/>
    </row>
    <row r="133">
      <c r="A133" s="44" t="inlineStr">
        <is>
          <t>TIPA 306M</t>
        </is>
      </c>
      <c r="B133" s="44" t="inlineStr">
        <is>
          <t xml:space="preserve">Ext. B </t>
        </is>
      </c>
      <c r="C133" s="43" t="n"/>
      <c r="D133" s="43">
        <f>IF(C133="","",IFERROR(_xlfn.XLOOKUP(C133,HELPER!$A$2:$A$76,HELPER!$B$2:$B$76,""),D133))</f>
        <v/>
      </c>
      <c r="E133" s="43">
        <f>IFERROR(_xlfn.XLOOKUP(D133,HELPER!$B:$B,HELPER!$C:$C,""),"")</f>
        <v/>
      </c>
      <c r="F133" s="42">
        <f>IFERROR(_xlfn.XLOOKUP(D133,HELPER!$B:$B,HELPER!$D:$D,""),"")</f>
        <v/>
      </c>
      <c r="G133" s="42" t="n">
        <v>24</v>
      </c>
      <c r="I133" s="63">
        <f>IF(AND(H133&lt;&gt;"",IFERROR(_xlfn.XLOOKUP(D133,HELPER!$B:$B,HELPER!$E:$E,""),"")=""),"Missing price",IFERROR(_xlfn.XLOOKUP(D133,HELPER!$B:$B,HELPER!$E:$E,"")," "))</f>
        <v/>
      </c>
      <c r="J133" s="72">
        <f>IFERROR(H133*(IF(G133=8,I133*HELPER!$G$2,BOM!I133*HELPER!$G$3))," ")</f>
        <v/>
      </c>
      <c r="K133" s="6" t="n"/>
      <c r="L133" s="14">
        <f t="array" ref="L133">IFERROR(_xlfn.LET(_xlpm.pairs,_xlfn._xlws.FILTER($A$2:$D$391,($A$2:$A$391&lt;&gt;"")*(TRIM($D$2:$D$391)&lt;&gt;"")),_xlpm.uniquePairs,_xlfn.UNIQUE(_xlfn.HSTACK(INDEX(_xlpm.pairs,,1),INDEX(_xlpm.pairs,,4))),_xlpm.sortedPairs,_xlfn._xlws.SORT(_xlpm.uniquePairs,1,1),IF(ROW()-1&lt;=ROWS(_xlpm.sortedPairs),INDEX(_xlpm.sortedPairs,ROW()-1,1),"")),"")</f>
        <v/>
      </c>
      <c r="M133" s="15">
        <f t="array" ref="M133">IFERROR(_xlfn.LET(_xlpm.pairs,_xlfn._xlws.FILTER($A$2:$D$391,($A$2:$A$391&lt;&gt;"")*(TRIM($D$2:$D$391)&lt;&gt;"")),_xlpm.uniquePairs,_xlfn.UNIQUE(_xlfn.HSTACK(INDEX(_xlpm.pairs,,1),INDEX(_xlpm.pairs,,4))),_xlpm.sortedPairs,_xlfn._xlws.SORT(_xlpm.uniquePairs,1,1),IF(ROW()-1&lt;=ROWS(_xlpm.sortedPairs),INDEX(_xlpm.sortedPairs,ROW()-1,2),"")),"")</f>
        <v/>
      </c>
      <c r="N133" s="15">
        <f t="array" ref="N133">IF(OR(L133="",M133=""),"",IFERROR(INDEX($E$2:$E$391,MATCH(1,($A$2:$A$391=L133)*($D$2:$D$391=M133),0)),""))</f>
        <v/>
      </c>
      <c r="O133" s="69">
        <f>IF(OR(L133="",M133=""),"",SUMIFS($J$2:$J$391,$A$2:$A$391,L133,$D$2:$D$391,M133))</f>
        <v/>
      </c>
      <c r="P133" s="6" t="n"/>
    </row>
    <row r="134">
      <c r="A134" s="44" t="inlineStr">
        <is>
          <t>TIPA 306M</t>
        </is>
      </c>
      <c r="B134" s="44" t="inlineStr">
        <is>
          <t xml:space="preserve">Ext. B </t>
        </is>
      </c>
      <c r="C134" s="43" t="inlineStr">
        <is>
          <t>PLA</t>
        </is>
      </c>
      <c r="D134" s="43">
        <f>IF(C134="","",IFERROR(_xlfn.XLOOKUP(C134,HELPER!$A$2:$A$76,HELPER!$B$2:$B$76,""),D134))</f>
        <v/>
      </c>
      <c r="E134" s="43">
        <f>IFERROR(_xlfn.XLOOKUP(D134,HELPER!$B:$B,HELPER!$C:$C,""),"")</f>
        <v/>
      </c>
      <c r="F134" s="42">
        <f>IFERROR(_xlfn.XLOOKUP(D134,HELPER!$B:$B,HELPER!$D:$D,""),"")</f>
        <v/>
      </c>
      <c r="G134" s="42" t="n">
        <v>24</v>
      </c>
      <c r="H134" s="523" t="n">
        <v>0.795</v>
      </c>
      <c r="I134" s="63">
        <f>IF(AND(H134&lt;&gt;"",IFERROR(_xlfn.XLOOKUP(D134,HELPER!$B:$B,HELPER!$E:$E,""),"")=""),"Missing price",IFERROR(_xlfn.XLOOKUP(D134,HELPER!$B:$B,HELPER!$E:$E,"")," "))</f>
        <v/>
      </c>
      <c r="J134" s="72">
        <f>IFERROR(H134*(IF(G134=8,I134*HELPER!$G$2,BOM!I134*HELPER!$G$3))," ")</f>
        <v/>
      </c>
      <c r="K134" s="6" t="n"/>
      <c r="L134" s="14">
        <f t="array" ref="L134">IFERROR(_xlfn.LET(_xlpm.pairs,_xlfn._xlws.FILTER($A$2:$D$391,($A$2:$A$391&lt;&gt;"")*(TRIM($D$2:$D$391)&lt;&gt;"")),_xlpm.uniquePairs,_xlfn.UNIQUE(_xlfn.HSTACK(INDEX(_xlpm.pairs,,1),INDEX(_xlpm.pairs,,4))),_xlpm.sortedPairs,_xlfn._xlws.SORT(_xlpm.uniquePairs,1,1),IF(ROW()-1&lt;=ROWS(_xlpm.sortedPairs),INDEX(_xlpm.sortedPairs,ROW()-1,1),"")),"")</f>
        <v/>
      </c>
      <c r="M134" s="15">
        <f t="array" ref="M134">IFERROR(_xlfn.LET(_xlpm.pairs,_xlfn._xlws.FILTER($A$2:$D$391,($A$2:$A$391&lt;&gt;"")*(TRIM($D$2:$D$391)&lt;&gt;"")),_xlpm.uniquePairs,_xlfn.UNIQUE(_xlfn.HSTACK(INDEX(_xlpm.pairs,,1),INDEX(_xlpm.pairs,,4))),_xlpm.sortedPairs,_xlfn._xlws.SORT(_xlpm.uniquePairs,1,1),IF(ROW()-1&lt;=ROWS(_xlpm.sortedPairs),INDEX(_xlpm.sortedPairs,ROW()-1,2),"")),"")</f>
        <v/>
      </c>
      <c r="N134" s="15">
        <f t="array" ref="N134">IF(OR(L134="",M134=""),"",IFERROR(INDEX($E$2:$E$391,MATCH(1,($A$2:$A$391=L134)*($D$2:$D$391=M134),0)),""))</f>
        <v/>
      </c>
      <c r="O134" s="69">
        <f>IF(OR(L134="",M134=""),"",SUMIFS($J$2:$J$391,$A$2:$A$391,L134,$D$2:$D$391,M134))</f>
        <v/>
      </c>
      <c r="P134" s="6" t="n"/>
    </row>
    <row r="135">
      <c r="A135" s="44" t="inlineStr">
        <is>
          <t>TIPA 306M</t>
        </is>
      </c>
      <c r="B135" s="44" t="inlineStr">
        <is>
          <t xml:space="preserve">Ext. B </t>
        </is>
      </c>
      <c r="C135" s="43" t="inlineStr">
        <is>
          <t>PCL</t>
        </is>
      </c>
      <c r="D135" s="43">
        <f>IF(C135="","",IFERROR(_xlfn.XLOOKUP(C135,HELPER!$A$2:$A$76,HELPER!$B$2:$B$76,""),D135))</f>
        <v/>
      </c>
      <c r="E135" s="43">
        <f>IFERROR(_xlfn.XLOOKUP(D135,HELPER!$B:$B,HELPER!$C:$C,""),"")</f>
        <v/>
      </c>
      <c r="F135" s="42">
        <f>IFERROR(_xlfn.XLOOKUP(D135,HELPER!$B:$B,HELPER!$D:$D,""),"")</f>
        <v/>
      </c>
      <c r="G135" s="42" t="n">
        <v>24</v>
      </c>
      <c r="H135" s="523" t="n">
        <v>0.19</v>
      </c>
      <c r="I135" s="63">
        <f>IF(AND(H135&lt;&gt;"",IFERROR(_xlfn.XLOOKUP(D135,HELPER!$B:$B,HELPER!$E:$E,""),"")=""),"Missing price",IFERROR(_xlfn.XLOOKUP(D135,HELPER!$B:$B,HELPER!$E:$E,"")," "))</f>
        <v/>
      </c>
      <c r="J135" s="72">
        <f>IFERROR(H135*(IF(G135=8,I135*HELPER!$G$2,BOM!I135*HELPER!$G$3))," ")</f>
        <v/>
      </c>
      <c r="K135" s="6" t="n"/>
      <c r="L135" s="14">
        <f t="array" ref="L135">IFERROR(_xlfn.LET(_xlpm.pairs,_xlfn._xlws.FILTER($A$2:$D$391,($A$2:$A$391&lt;&gt;"")*(TRIM($D$2:$D$391)&lt;&gt;"")),_xlpm.uniquePairs,_xlfn.UNIQUE(_xlfn.HSTACK(INDEX(_xlpm.pairs,,1),INDEX(_xlpm.pairs,,4))),_xlpm.sortedPairs,_xlfn._xlws.SORT(_xlpm.uniquePairs,1,1),IF(ROW()-1&lt;=ROWS(_xlpm.sortedPairs),INDEX(_xlpm.sortedPairs,ROW()-1,1),"")),"")</f>
        <v/>
      </c>
      <c r="M135" s="15">
        <f t="array" ref="M135">IFERROR(_xlfn.LET(_xlpm.pairs,_xlfn._xlws.FILTER($A$2:$D$391,($A$2:$A$391&lt;&gt;"")*(TRIM($D$2:$D$391)&lt;&gt;"")),_xlpm.uniquePairs,_xlfn.UNIQUE(_xlfn.HSTACK(INDEX(_xlpm.pairs,,1),INDEX(_xlpm.pairs,,4))),_xlpm.sortedPairs,_xlfn._xlws.SORT(_xlpm.uniquePairs,1,1),IF(ROW()-1&lt;=ROWS(_xlpm.sortedPairs),INDEX(_xlpm.sortedPairs,ROW()-1,2),"")),"")</f>
        <v/>
      </c>
      <c r="N135" s="15">
        <f t="array" ref="N135">IF(OR(L135="",M135=""),"",IFERROR(INDEX($E$2:$E$391,MATCH(1,($A$2:$A$391=L135)*($D$2:$D$391=M135),0)),""))</f>
        <v/>
      </c>
      <c r="O135" s="69">
        <f>IF(OR(L135="",M135=""),"",SUMIFS($J$2:$J$391,$A$2:$A$391,L135,$D$2:$D$391,M135))</f>
        <v/>
      </c>
      <c r="P135" s="6" t="n"/>
    </row>
    <row r="136">
      <c r="A136" s="44" t="inlineStr">
        <is>
          <t>TIPA 306M</t>
        </is>
      </c>
      <c r="B136" s="44" t="inlineStr">
        <is>
          <t xml:space="preserve">Ext. B </t>
        </is>
      </c>
      <c r="C136" s="43" t="inlineStr">
        <is>
          <t>AO-PBS</t>
        </is>
      </c>
      <c r="D136" s="43">
        <f>IF(C136="","",IFERROR(_xlfn.XLOOKUP(C136,HELPER!$A$2:$A$76,HELPER!$B$2:$B$76,""),D136))</f>
        <v/>
      </c>
      <c r="E136" s="43">
        <f>IFERROR(_xlfn.XLOOKUP(D136,HELPER!$B:$B,HELPER!$C:$C,""),"")</f>
        <v/>
      </c>
      <c r="F136" s="42">
        <f>IFERROR(_xlfn.XLOOKUP(D136,HELPER!$B:$B,HELPER!$D:$D,""),"")</f>
        <v/>
      </c>
      <c r="G136" s="42" t="n">
        <v>24</v>
      </c>
      <c r="H136" s="523" t="n">
        <v>0.015</v>
      </c>
      <c r="I136" s="63">
        <f>IF(AND(H136&lt;&gt;"",IFERROR(_xlfn.XLOOKUP(D136,HELPER!$B:$B,HELPER!$E:$E,""),"")=""),"Missing price",IFERROR(_xlfn.XLOOKUP(D136,HELPER!$B:$B,HELPER!$E:$E,"")," "))</f>
        <v/>
      </c>
      <c r="J136" s="72">
        <f>IFERROR(H136*(IF(G136=8,I136*HELPER!$G$2,BOM!I136*HELPER!$G$3))," ")</f>
        <v/>
      </c>
      <c r="K136" s="6" t="n"/>
      <c r="L136" s="14">
        <f t="array" ref="L136">IFERROR(_xlfn.LET(_xlpm.pairs,_xlfn._xlws.FILTER($A$2:$D$391,($A$2:$A$391&lt;&gt;"")*(TRIM($D$2:$D$391)&lt;&gt;"")),_xlpm.uniquePairs,_xlfn.UNIQUE(_xlfn.HSTACK(INDEX(_xlpm.pairs,,1),INDEX(_xlpm.pairs,,4))),_xlpm.sortedPairs,_xlfn._xlws.SORT(_xlpm.uniquePairs,1,1),IF(ROW()-1&lt;=ROWS(_xlpm.sortedPairs),INDEX(_xlpm.sortedPairs,ROW()-1,1),"")),"")</f>
        <v/>
      </c>
      <c r="M136" s="15">
        <f t="array" ref="M136">IFERROR(_xlfn.LET(_xlpm.pairs,_xlfn._xlws.FILTER($A$2:$D$391,($A$2:$A$391&lt;&gt;"")*(TRIM($D$2:$D$391)&lt;&gt;"")),_xlpm.uniquePairs,_xlfn.UNIQUE(_xlfn.HSTACK(INDEX(_xlpm.pairs,,1),INDEX(_xlpm.pairs,,4))),_xlpm.sortedPairs,_xlfn._xlws.SORT(_xlpm.uniquePairs,1,1),IF(ROW()-1&lt;=ROWS(_xlpm.sortedPairs),INDEX(_xlpm.sortedPairs,ROW()-1,2),"")),"")</f>
        <v/>
      </c>
      <c r="N136" s="15">
        <f t="array" ref="N136">IF(OR(L136="",M136=""),"",IFERROR(INDEX($E$2:$E$391,MATCH(1,($A$2:$A$391=L136)*($D$2:$D$391=M136),0)),""))</f>
        <v/>
      </c>
      <c r="O136" s="69">
        <f>IF(OR(L136="",M136=""),"",SUMIFS($J$2:$J$391,$A$2:$A$391,L136,$D$2:$D$391,M136))</f>
        <v/>
      </c>
      <c r="P136" s="6" t="n"/>
    </row>
    <row r="137">
      <c r="A137" s="44" t="inlineStr">
        <is>
          <t>TIPA 306M</t>
        </is>
      </c>
      <c r="B137" s="44" t="inlineStr">
        <is>
          <t xml:space="preserve">Ext. B </t>
        </is>
      </c>
      <c r="C137" s="43" t="n"/>
      <c r="D137" s="43">
        <f>IF(C137="","",IFERROR(_xlfn.XLOOKUP(C137,HELPER!$A$2:$A$76,HELPER!$B$2:$B$76,""),D137))</f>
        <v/>
      </c>
      <c r="E137" s="43">
        <f>IFERROR(_xlfn.XLOOKUP(D137,HELPER!$B:$B,HELPER!$C:$C,""),"")</f>
        <v/>
      </c>
      <c r="F137" s="42">
        <f>IFERROR(_xlfn.XLOOKUP(D137,HELPER!$B:$B,HELPER!$D:$D,""),"")</f>
        <v/>
      </c>
      <c r="G137" s="42" t="n">
        <v>24</v>
      </c>
      <c r="I137" s="63">
        <f>IF(AND(H137&lt;&gt;"",IFERROR(_xlfn.XLOOKUP(D137,HELPER!$B:$B,HELPER!$E:$E,""),"")=""),"Missing price",IFERROR(_xlfn.XLOOKUP(D137,HELPER!$B:$B,HELPER!$E:$E,"")," "))</f>
        <v/>
      </c>
      <c r="J137" s="72">
        <f>IFERROR(H137*(IF(G137=8,I137*HELPER!$G$2,BOM!I137*HELPER!$G$3))," ")</f>
        <v/>
      </c>
      <c r="K137" s="6" t="n"/>
      <c r="L137" s="14">
        <f t="array" ref="L137">IFERROR(_xlfn.LET(_xlpm.pairs,_xlfn._xlws.FILTER($A$2:$D$391,($A$2:$A$391&lt;&gt;"")*(TRIM($D$2:$D$391)&lt;&gt;"")),_xlpm.uniquePairs,_xlfn.UNIQUE(_xlfn.HSTACK(INDEX(_xlpm.pairs,,1),INDEX(_xlpm.pairs,,4))),_xlpm.sortedPairs,_xlfn._xlws.SORT(_xlpm.uniquePairs,1,1),IF(ROW()-1&lt;=ROWS(_xlpm.sortedPairs),INDEX(_xlpm.sortedPairs,ROW()-1,1),"")),"")</f>
        <v/>
      </c>
      <c r="M137" s="15">
        <f t="array" ref="M137">IFERROR(_xlfn.LET(_xlpm.pairs,_xlfn._xlws.FILTER($A$2:$D$391,($A$2:$A$391&lt;&gt;"")*(TRIM($D$2:$D$391)&lt;&gt;"")),_xlpm.uniquePairs,_xlfn.UNIQUE(_xlfn.HSTACK(INDEX(_xlpm.pairs,,1),INDEX(_xlpm.pairs,,4))),_xlpm.sortedPairs,_xlfn._xlws.SORT(_xlpm.uniquePairs,1,1),IF(ROW()-1&lt;=ROWS(_xlpm.sortedPairs),INDEX(_xlpm.sortedPairs,ROW()-1,2),"")),"")</f>
        <v/>
      </c>
      <c r="N137" s="15">
        <f t="array" ref="N137">IF(OR(L137="",M137=""),"",IFERROR(INDEX($E$2:$E$391,MATCH(1,($A$2:$A$391=L137)*($D$2:$D$391=M137),0)),""))</f>
        <v/>
      </c>
      <c r="O137" s="69">
        <f>IF(OR(L137="",M137=""),"",SUMIFS($J$2:$J$391,$A$2:$A$391,L137,$D$2:$D$391,M137))</f>
        <v/>
      </c>
      <c r="P137" s="6" t="n"/>
    </row>
    <row r="138">
      <c r="A138" s="44" t="inlineStr">
        <is>
          <t>TIPA 306M</t>
        </is>
      </c>
      <c r="B138" s="44" t="inlineStr">
        <is>
          <t xml:space="preserve">Ext. B </t>
        </is>
      </c>
      <c r="C138" s="43" t="n"/>
      <c r="D138" s="43">
        <f>IF(C138="","",IFERROR(_xlfn.XLOOKUP(C138,HELPER!$A$2:$A$76,HELPER!$B$2:$B$76,""),D138))</f>
        <v/>
      </c>
      <c r="E138" s="43">
        <f>IFERROR(_xlfn.XLOOKUP(D138,HELPER!$B:$B,HELPER!$C:$C,""),"")</f>
        <v/>
      </c>
      <c r="F138" s="42">
        <f>IFERROR(_xlfn.XLOOKUP(D138,HELPER!$B:$B,HELPER!$D:$D,""),"")</f>
        <v/>
      </c>
      <c r="G138" s="42" t="n">
        <v>24</v>
      </c>
      <c r="I138" s="63">
        <f>IF(AND(H138&lt;&gt;"",IFERROR(_xlfn.XLOOKUP(D138,HELPER!$B:$B,HELPER!$E:$E,""),"")=""),"Missing price",IFERROR(_xlfn.XLOOKUP(D138,HELPER!$B:$B,HELPER!$E:$E,"")," "))</f>
        <v/>
      </c>
      <c r="J138" s="72">
        <f>IFERROR(H138*(IF(G138=8,I138*HELPER!$G$2,BOM!I138*HELPER!$G$3))," ")</f>
        <v/>
      </c>
      <c r="K138" s="6" t="n"/>
      <c r="L138" s="14">
        <f t="array" ref="L138">IFERROR(_xlfn.LET(_xlpm.pairs,_xlfn._xlws.FILTER($A$2:$D$391,($A$2:$A$391&lt;&gt;"")*(TRIM($D$2:$D$391)&lt;&gt;"")),_xlpm.uniquePairs,_xlfn.UNIQUE(_xlfn.HSTACK(INDEX(_xlpm.pairs,,1),INDEX(_xlpm.pairs,,4))),_xlpm.sortedPairs,_xlfn._xlws.SORT(_xlpm.uniquePairs,1,1),IF(ROW()-1&lt;=ROWS(_xlpm.sortedPairs),INDEX(_xlpm.sortedPairs,ROW()-1,1),"")),"")</f>
        <v/>
      </c>
      <c r="M138" s="15">
        <f t="array" ref="M138">IFERROR(_xlfn.LET(_xlpm.pairs,_xlfn._xlws.FILTER($A$2:$D$391,($A$2:$A$391&lt;&gt;"")*(TRIM($D$2:$D$391)&lt;&gt;"")),_xlpm.uniquePairs,_xlfn.UNIQUE(_xlfn.HSTACK(INDEX(_xlpm.pairs,,1),INDEX(_xlpm.pairs,,4))),_xlpm.sortedPairs,_xlfn._xlws.SORT(_xlpm.uniquePairs,1,1),IF(ROW()-1&lt;=ROWS(_xlpm.sortedPairs),INDEX(_xlpm.sortedPairs,ROW()-1,2),"")),"")</f>
        <v/>
      </c>
      <c r="N138" s="15">
        <f t="array" ref="N138">IF(OR(L138="",M138=""),"",IFERROR(INDEX($E$2:$E$391,MATCH(1,($A$2:$A$391=L138)*($D$2:$D$391=M138),0)),""))</f>
        <v/>
      </c>
      <c r="O138" s="69">
        <f>IF(OR(L138="",M138=""),"",SUMIFS($J$2:$J$391,$A$2:$A$391,L138,$D$2:$D$391,M138))</f>
        <v/>
      </c>
      <c r="P138" s="6" t="n"/>
    </row>
    <row r="139">
      <c r="A139" s="44" t="inlineStr">
        <is>
          <t>TIPA 306M</t>
        </is>
      </c>
      <c r="B139" s="44" t="inlineStr">
        <is>
          <t xml:space="preserve">Ext. B </t>
        </is>
      </c>
      <c r="C139" s="43" t="n"/>
      <c r="D139" s="43">
        <f>IF(C139="","",IFERROR(_xlfn.XLOOKUP(C139,HELPER!$A$2:$A$76,HELPER!$B$2:$B$76,""),D139))</f>
        <v/>
      </c>
      <c r="E139" s="43">
        <f>IFERROR(_xlfn.XLOOKUP(D139,HELPER!$B:$B,HELPER!$C:$C,""),"")</f>
        <v/>
      </c>
      <c r="F139" s="42">
        <f>IFERROR(_xlfn.XLOOKUP(D139,HELPER!$B:$B,HELPER!$D:$D,""),"")</f>
        <v/>
      </c>
      <c r="G139" s="42" t="n">
        <v>24</v>
      </c>
      <c r="I139" s="63">
        <f>IF(AND(H139&lt;&gt;"",IFERROR(_xlfn.XLOOKUP(D139,HELPER!$B:$B,HELPER!$E:$E,""),"")=""),"Missing price",IFERROR(_xlfn.XLOOKUP(D139,HELPER!$B:$B,HELPER!$E:$E,"")," "))</f>
        <v/>
      </c>
      <c r="J139" s="72">
        <f>IFERROR(H139*(IF(G139=8,I139*HELPER!$G$2,BOM!I139*HELPER!$G$3))," ")</f>
        <v/>
      </c>
      <c r="K139" s="6" t="n"/>
      <c r="L139" s="14">
        <f t="array" ref="L139">IFERROR(_xlfn.LET(_xlpm.pairs,_xlfn._xlws.FILTER($A$2:$D$391,($A$2:$A$391&lt;&gt;"")*(TRIM($D$2:$D$391)&lt;&gt;"")),_xlpm.uniquePairs,_xlfn.UNIQUE(_xlfn.HSTACK(INDEX(_xlpm.pairs,,1),INDEX(_xlpm.pairs,,4))),_xlpm.sortedPairs,_xlfn._xlws.SORT(_xlpm.uniquePairs,1,1),IF(ROW()-1&lt;=ROWS(_xlpm.sortedPairs),INDEX(_xlpm.sortedPairs,ROW()-1,1),"")),"")</f>
        <v/>
      </c>
      <c r="M139" s="15">
        <f t="array" ref="M139">IFERROR(_xlfn.LET(_xlpm.pairs,_xlfn._xlws.FILTER($A$2:$D$391,($A$2:$A$391&lt;&gt;"")*(TRIM($D$2:$D$391)&lt;&gt;"")),_xlpm.uniquePairs,_xlfn.UNIQUE(_xlfn.HSTACK(INDEX(_xlpm.pairs,,1),INDEX(_xlpm.pairs,,4))),_xlpm.sortedPairs,_xlfn._xlws.SORT(_xlpm.uniquePairs,1,1),IF(ROW()-1&lt;=ROWS(_xlpm.sortedPairs),INDEX(_xlpm.sortedPairs,ROW()-1,2),"")),"")</f>
        <v/>
      </c>
      <c r="N139" s="15">
        <f t="array" ref="N139">IF(OR(L139="",M139=""),"",IFERROR(INDEX($E$2:$E$391,MATCH(1,($A$2:$A$391=L139)*($D$2:$D$391=M139),0)),""))</f>
        <v/>
      </c>
      <c r="O139" s="69">
        <f>IF(OR(L139="",M139=""),"",SUMIFS($J$2:$J$391,$A$2:$A$391,L139,$D$2:$D$391,M139))</f>
        <v/>
      </c>
      <c r="P139" s="6" t="n"/>
    </row>
    <row r="140">
      <c r="A140" s="44" t="inlineStr">
        <is>
          <t>TIPA 306M</t>
        </is>
      </c>
      <c r="B140" s="44" t="inlineStr">
        <is>
          <t xml:space="preserve">Ext. B </t>
        </is>
      </c>
      <c r="C140" s="43" t="n"/>
      <c r="D140" s="43">
        <f>IF(C140="","",IFERROR(_xlfn.XLOOKUP(C140,HELPER!$A$2:$A$76,HELPER!$B$2:$B$76,""),D140))</f>
        <v/>
      </c>
      <c r="E140" s="43">
        <f>IFERROR(_xlfn.XLOOKUP(D140,HELPER!$B:$B,HELPER!$C:$C,""),"")</f>
        <v/>
      </c>
      <c r="F140" s="42">
        <f>IFERROR(_xlfn.XLOOKUP(D140,HELPER!$B:$B,HELPER!$D:$D,""),"")</f>
        <v/>
      </c>
      <c r="G140" s="42" t="n">
        <v>24</v>
      </c>
      <c r="I140" s="63">
        <f>IF(AND(H140&lt;&gt;"",IFERROR(_xlfn.XLOOKUP(D140,HELPER!$B:$B,HELPER!$E:$E,""),"")=""),"Missing price",IFERROR(_xlfn.XLOOKUP(D140,HELPER!$B:$B,HELPER!$E:$E,"")," "))</f>
        <v/>
      </c>
      <c r="J140" s="72">
        <f>IFERROR(H140*(IF(G140=8,I140*HELPER!$G$2,BOM!I140*HELPER!$G$3))," ")</f>
        <v/>
      </c>
      <c r="K140" s="6" t="n"/>
      <c r="L140" s="14">
        <f t="array" ref="L140">IFERROR(_xlfn.LET(_xlpm.pairs,_xlfn._xlws.FILTER($A$2:$D$391,($A$2:$A$391&lt;&gt;"")*(TRIM($D$2:$D$391)&lt;&gt;"")),_xlpm.uniquePairs,_xlfn.UNIQUE(_xlfn.HSTACK(INDEX(_xlpm.pairs,,1),INDEX(_xlpm.pairs,,4))),_xlpm.sortedPairs,_xlfn._xlws.SORT(_xlpm.uniquePairs,1,1),IF(ROW()-1&lt;=ROWS(_xlpm.sortedPairs),INDEX(_xlpm.sortedPairs,ROW()-1,1),"")),"")</f>
        <v/>
      </c>
      <c r="M140" s="15">
        <f t="array" ref="M140">IFERROR(_xlfn.LET(_xlpm.pairs,_xlfn._xlws.FILTER($A$2:$D$391,($A$2:$A$391&lt;&gt;"")*(TRIM($D$2:$D$391)&lt;&gt;"")),_xlpm.uniquePairs,_xlfn.UNIQUE(_xlfn.HSTACK(INDEX(_xlpm.pairs,,1),INDEX(_xlpm.pairs,,4))),_xlpm.sortedPairs,_xlfn._xlws.SORT(_xlpm.uniquePairs,1,1),IF(ROW()-1&lt;=ROWS(_xlpm.sortedPairs),INDEX(_xlpm.sortedPairs,ROW()-1,2),"")),"")</f>
        <v/>
      </c>
      <c r="N140" s="15">
        <f t="array" ref="N140">IF(OR(L140="",M140=""),"",IFERROR(INDEX($E$2:$E$391,MATCH(1,($A$2:$A$391=L140)*($D$2:$D$391=M140),0)),""))</f>
        <v/>
      </c>
      <c r="O140" s="69">
        <f>IF(OR(L140="",M140=""),"",SUMIFS($J$2:$J$391,$A$2:$A$391,L140,$D$2:$D$391,M140))</f>
        <v/>
      </c>
      <c r="P140" s="6" t="n"/>
    </row>
    <row r="141">
      <c r="A141" s="44" t="inlineStr">
        <is>
          <t>TIPA 306M</t>
        </is>
      </c>
      <c r="B141" s="44" t="inlineStr">
        <is>
          <t xml:space="preserve">Ext. B </t>
        </is>
      </c>
      <c r="C141" s="43" t="n"/>
      <c r="D141" s="43">
        <f>IF(C141="","",IFERROR(_xlfn.XLOOKUP(C141,HELPER!$A$2:$A$76,HELPER!$B$2:$B$76,""),D141))</f>
        <v/>
      </c>
      <c r="E141" s="43">
        <f>IFERROR(_xlfn.XLOOKUP(D141,HELPER!$B:$B,HELPER!$C:$C,""),"")</f>
        <v/>
      </c>
      <c r="F141" s="42">
        <f>IFERROR(_xlfn.XLOOKUP(D141,HELPER!$B:$B,HELPER!$D:$D,""),"")</f>
        <v/>
      </c>
      <c r="G141" s="42" t="n">
        <v>24</v>
      </c>
      <c r="I141" s="63">
        <f>IF(AND(H141&lt;&gt;"",IFERROR(_xlfn.XLOOKUP(D141,HELPER!$B:$B,HELPER!$E:$E,""),"")=""),"Missing price",IFERROR(_xlfn.XLOOKUP(D141,HELPER!$B:$B,HELPER!$E:$E,"")," "))</f>
        <v/>
      </c>
      <c r="J141" s="72">
        <f>IFERROR(H141*(IF(G141=8,I141*HELPER!$G$2,BOM!I141*HELPER!$G$3))," ")</f>
        <v/>
      </c>
      <c r="K141" s="6" t="n"/>
      <c r="L141" s="14">
        <f t="array" ref="L141">IFERROR(_xlfn.LET(_xlpm.pairs,_xlfn._xlws.FILTER($A$2:$D$391,($A$2:$A$391&lt;&gt;"")*(TRIM($D$2:$D$391)&lt;&gt;"")),_xlpm.uniquePairs,_xlfn.UNIQUE(_xlfn.HSTACK(INDEX(_xlpm.pairs,,1),INDEX(_xlpm.pairs,,4))),_xlpm.sortedPairs,_xlfn._xlws.SORT(_xlpm.uniquePairs,1,1),IF(ROW()-1&lt;=ROWS(_xlpm.sortedPairs),INDEX(_xlpm.sortedPairs,ROW()-1,1),"")),"")</f>
        <v/>
      </c>
      <c r="M141" s="15">
        <f t="array" ref="M141">IFERROR(_xlfn.LET(_xlpm.pairs,_xlfn._xlws.FILTER($A$2:$D$391,($A$2:$A$391&lt;&gt;"")*(TRIM($D$2:$D$391)&lt;&gt;"")),_xlpm.uniquePairs,_xlfn.UNIQUE(_xlfn.HSTACK(INDEX(_xlpm.pairs,,1),INDEX(_xlpm.pairs,,4))),_xlpm.sortedPairs,_xlfn._xlws.SORT(_xlpm.uniquePairs,1,1),IF(ROW()-1&lt;=ROWS(_xlpm.sortedPairs),INDEX(_xlpm.sortedPairs,ROW()-1,2),"")),"")</f>
        <v/>
      </c>
      <c r="N141" s="15">
        <f t="array" ref="N141">IF(OR(L141="",M141=""),"",IFERROR(INDEX($E$2:$E$391,MATCH(1,($A$2:$A$391=L141)*($D$2:$D$391=M141),0)),""))</f>
        <v/>
      </c>
      <c r="O141" s="69">
        <f>IF(OR(L141="",M141=""),"",SUMIFS($J$2:$J$391,$A$2:$A$391,L141,$D$2:$D$391,M141))</f>
        <v/>
      </c>
      <c r="P141" s="6" t="n"/>
    </row>
    <row r="142">
      <c r="A142" s="44" t="inlineStr">
        <is>
          <t>TIPA 306M</t>
        </is>
      </c>
      <c r="B142" s="44" t="inlineStr">
        <is>
          <t>Ext. C (In)</t>
        </is>
      </c>
      <c r="C142" s="43" t="inlineStr">
        <is>
          <t>PBSA</t>
        </is>
      </c>
      <c r="D142" s="43">
        <f>IF(C142="","",IFERROR(_xlfn.XLOOKUP(C142,HELPER!$A$2:$A$76,HELPER!$B$2:$B$76,""),D142))</f>
        <v/>
      </c>
      <c r="E142" s="43">
        <f>IFERROR(_xlfn.XLOOKUP(D142,HELPER!$B:$B,HELPER!$C:$C,""),"")</f>
        <v/>
      </c>
      <c r="F142" s="42">
        <f>IFERROR(_xlfn.XLOOKUP(D142,HELPER!$B:$B,HELPER!$D:$D,""),"")</f>
        <v/>
      </c>
      <c r="G142" s="42" t="n">
        <v>8</v>
      </c>
      <c r="H142" s="523" t="n">
        <v>0.8080000000000001</v>
      </c>
      <c r="I142" s="63">
        <f>IF(AND(H142&lt;&gt;"",IFERROR(_xlfn.XLOOKUP(D142,HELPER!$B:$B,HELPER!$E:$E,""),"")=""),"Missing price",IFERROR(_xlfn.XLOOKUP(D142,HELPER!$B:$B,HELPER!$E:$E,"")," "))</f>
        <v/>
      </c>
      <c r="J142" s="72">
        <f>IFERROR(H142*(IF(G142=8,I142*HELPER!$G$2,BOM!I142*HELPER!$G$3))," ")</f>
        <v/>
      </c>
      <c r="K142" s="6" t="n"/>
      <c r="L142" s="14">
        <f t="array" ref="L142">IFERROR(_xlfn.LET(_xlpm.pairs,_xlfn._xlws.FILTER($A$2:$D$391,($A$2:$A$391&lt;&gt;"")*(TRIM($D$2:$D$391)&lt;&gt;"")),_xlpm.uniquePairs,_xlfn.UNIQUE(_xlfn.HSTACK(INDEX(_xlpm.pairs,,1),INDEX(_xlpm.pairs,,4))),_xlpm.sortedPairs,_xlfn._xlws.SORT(_xlpm.uniquePairs,1,1),IF(ROW()-1&lt;=ROWS(_xlpm.sortedPairs),INDEX(_xlpm.sortedPairs,ROW()-1,1),"")),"")</f>
        <v/>
      </c>
      <c r="M142" s="15">
        <f t="array" ref="M142">IFERROR(_xlfn.LET(_xlpm.pairs,_xlfn._xlws.FILTER($A$2:$D$391,($A$2:$A$391&lt;&gt;"")*(TRIM($D$2:$D$391)&lt;&gt;"")),_xlpm.uniquePairs,_xlfn.UNIQUE(_xlfn.HSTACK(INDEX(_xlpm.pairs,,1),INDEX(_xlpm.pairs,,4))),_xlpm.sortedPairs,_xlfn._xlws.SORT(_xlpm.uniquePairs,1,1),IF(ROW()-1&lt;=ROWS(_xlpm.sortedPairs),INDEX(_xlpm.sortedPairs,ROW()-1,2),"")),"")</f>
        <v/>
      </c>
      <c r="N142" s="15">
        <f t="array" ref="N142">IF(OR(L142="",M142=""),"",IFERROR(INDEX($E$2:$E$391,MATCH(1,($A$2:$A$391=L142)*($D$2:$D$391=M142),0)),""))</f>
        <v/>
      </c>
      <c r="O142" s="69">
        <f>IF(OR(L142="",M142=""),"",SUMIFS($J$2:$J$391,$A$2:$A$391,L142,$D$2:$D$391,M142))</f>
        <v/>
      </c>
      <c r="P142" s="6" t="n"/>
    </row>
    <row r="143">
      <c r="A143" s="44" t="inlineStr">
        <is>
          <t>TIPA 306M</t>
        </is>
      </c>
      <c r="B143" s="44" t="inlineStr">
        <is>
          <t>Ext. C (In)</t>
        </is>
      </c>
      <c r="C143" s="43" t="inlineStr">
        <is>
          <t>PLA</t>
        </is>
      </c>
      <c r="D143" s="43">
        <f>IF(C143="","",IFERROR(_xlfn.XLOOKUP(C143,HELPER!$A$2:$A$76,HELPER!$B$2:$B$76,""),D143))</f>
        <v/>
      </c>
      <c r="E143" s="43">
        <f>IFERROR(_xlfn.XLOOKUP(D143,HELPER!$B:$B,HELPER!$C:$C,""),"")</f>
        <v/>
      </c>
      <c r="F143" s="42">
        <f>IFERROR(_xlfn.XLOOKUP(D143,HELPER!$B:$B,HELPER!$D:$D,""),"")</f>
        <v/>
      </c>
      <c r="G143" s="42" t="n">
        <v>8</v>
      </c>
      <c r="H143" s="523" t="n">
        <v>0.142</v>
      </c>
      <c r="I143" s="63">
        <f>IF(AND(H143&lt;&gt;"",IFERROR(_xlfn.XLOOKUP(D143,HELPER!$B:$B,HELPER!$E:$E,""),"")=""),"Missing price",IFERROR(_xlfn.XLOOKUP(D143,HELPER!$B:$B,HELPER!$E:$E,"")," "))</f>
        <v/>
      </c>
      <c r="J143" s="72">
        <f>IFERROR(H143*(IF(G143=8,I143*HELPER!$G$2,BOM!I143*HELPER!$G$3))," ")</f>
        <v/>
      </c>
      <c r="K143" s="6" t="n"/>
      <c r="L143" s="14">
        <f t="array" ref="L143">IFERROR(_xlfn.LET(_xlpm.pairs,_xlfn._xlws.FILTER($A$2:$D$391,($A$2:$A$391&lt;&gt;"")*(TRIM($D$2:$D$391)&lt;&gt;"")),_xlpm.uniquePairs,_xlfn.UNIQUE(_xlfn.HSTACK(INDEX(_xlpm.pairs,,1),INDEX(_xlpm.pairs,,4))),_xlpm.sortedPairs,_xlfn._xlws.SORT(_xlpm.uniquePairs,1,1),IF(ROW()-1&lt;=ROWS(_xlpm.sortedPairs),INDEX(_xlpm.sortedPairs,ROW()-1,1),"")),"")</f>
        <v/>
      </c>
      <c r="M143" s="15">
        <f t="array" ref="M143">IFERROR(_xlfn.LET(_xlpm.pairs,_xlfn._xlws.FILTER($A$2:$D$391,($A$2:$A$391&lt;&gt;"")*(TRIM($D$2:$D$391)&lt;&gt;"")),_xlpm.uniquePairs,_xlfn.UNIQUE(_xlfn.HSTACK(INDEX(_xlpm.pairs,,1),INDEX(_xlpm.pairs,,4))),_xlpm.sortedPairs,_xlfn._xlws.SORT(_xlpm.uniquePairs,1,1),IF(ROW()-1&lt;=ROWS(_xlpm.sortedPairs),INDEX(_xlpm.sortedPairs,ROW()-1,2),"")),"")</f>
        <v/>
      </c>
      <c r="N143" s="15">
        <f t="array" ref="N143">IF(OR(L143="",M143=""),"",IFERROR(INDEX($E$2:$E$391,MATCH(1,($A$2:$A$391=L143)*($D$2:$D$391=M143),0)),""))</f>
        <v/>
      </c>
      <c r="O143" s="69">
        <f>IF(OR(L143="",M143=""),"",SUMIFS($J$2:$J$391,$A$2:$A$391,L143,$D$2:$D$391,M143))</f>
        <v/>
      </c>
      <c r="P143" s="6" t="n"/>
    </row>
    <row r="144">
      <c r="A144" s="44" t="inlineStr">
        <is>
          <t>TIPA 306M</t>
        </is>
      </c>
      <c r="B144" s="44" t="inlineStr">
        <is>
          <t>Ext. C (In)</t>
        </is>
      </c>
      <c r="C144" s="43" t="inlineStr">
        <is>
          <t>AB-PLA</t>
        </is>
      </c>
      <c r="D144" s="43">
        <f>IF(C144="","",IFERROR(_xlfn.XLOOKUP(C144,HELPER!$A$2:$A$76,HELPER!$B$2:$B$76,""),D144))</f>
        <v/>
      </c>
      <c r="E144" s="43">
        <f>IFERROR(_xlfn.XLOOKUP(D144,HELPER!$B:$B,HELPER!$C:$C,""),"")</f>
        <v/>
      </c>
      <c r="F144" s="42">
        <f>IFERROR(_xlfn.XLOOKUP(D144,HELPER!$B:$B,HELPER!$D:$D,""),"")</f>
        <v/>
      </c>
      <c r="G144" s="42" t="n">
        <v>8</v>
      </c>
      <c r="H144" s="523" t="n">
        <v>0.015</v>
      </c>
      <c r="I144" s="63">
        <f>IF(AND(H144&lt;&gt;"",IFERROR(_xlfn.XLOOKUP(D144,HELPER!$B:$B,HELPER!$E:$E,""),"")=""),"Missing price",IFERROR(_xlfn.XLOOKUP(D144,HELPER!$B:$B,HELPER!$E:$E,"")," "))</f>
        <v/>
      </c>
      <c r="J144" s="72">
        <f>IFERROR(H144*(IF(G144=8,I144*HELPER!$G$2,BOM!I144*HELPER!$G$3))," ")</f>
        <v/>
      </c>
      <c r="K144" s="6" t="n"/>
      <c r="L144" s="14">
        <f t="array" ref="L144">IFERROR(_xlfn.LET(_xlpm.pairs,_xlfn._xlws.FILTER($A$2:$D$391,($A$2:$A$391&lt;&gt;"")*(TRIM($D$2:$D$391)&lt;&gt;"")),_xlpm.uniquePairs,_xlfn.UNIQUE(_xlfn.HSTACK(INDEX(_xlpm.pairs,,1),INDEX(_xlpm.pairs,,4))),_xlpm.sortedPairs,_xlfn._xlws.SORT(_xlpm.uniquePairs,1,1),IF(ROW()-1&lt;=ROWS(_xlpm.sortedPairs),INDEX(_xlpm.sortedPairs,ROW()-1,1),"")),"")</f>
        <v/>
      </c>
      <c r="M144" s="15">
        <f t="array" ref="M144">IFERROR(_xlfn.LET(_xlpm.pairs,_xlfn._xlws.FILTER($A$2:$D$391,($A$2:$A$391&lt;&gt;"")*(TRIM($D$2:$D$391)&lt;&gt;"")),_xlpm.uniquePairs,_xlfn.UNIQUE(_xlfn.HSTACK(INDEX(_xlpm.pairs,,1),INDEX(_xlpm.pairs,,4))),_xlpm.sortedPairs,_xlfn._xlws.SORT(_xlpm.uniquePairs,1,1),IF(ROW()-1&lt;=ROWS(_xlpm.sortedPairs),INDEX(_xlpm.sortedPairs,ROW()-1,2),"")),"")</f>
        <v/>
      </c>
      <c r="N144" s="15">
        <f t="array" ref="N144">IF(OR(L144="",M144=""),"",IFERROR(INDEX($E$2:$E$391,MATCH(1,($A$2:$A$391=L144)*($D$2:$D$391=M144),0)),""))</f>
        <v/>
      </c>
      <c r="O144" s="69">
        <f>IF(OR(L144="",M144=""),"",SUMIFS($J$2:$J$391,$A$2:$A$391,L144,$D$2:$D$391,M144))</f>
        <v/>
      </c>
      <c r="P144" s="6" t="n"/>
    </row>
    <row r="145">
      <c r="A145" s="44" t="inlineStr">
        <is>
          <t>TIPA 306M</t>
        </is>
      </c>
      <c r="B145" s="44" t="inlineStr">
        <is>
          <t>Ext. C (In)</t>
        </is>
      </c>
      <c r="C145" s="43" t="inlineStr">
        <is>
          <t>AO-PBS</t>
        </is>
      </c>
      <c r="D145" s="43">
        <f>IF(C145="","",IFERROR(_xlfn.XLOOKUP(C145,HELPER!$A$2:$A$76,HELPER!$B$2:$B$76,""),D145))</f>
        <v/>
      </c>
      <c r="E145" s="43">
        <f>IFERROR(_xlfn.XLOOKUP(D145,HELPER!$B:$B,HELPER!$C:$C,""),"")</f>
        <v/>
      </c>
      <c r="F145" s="42">
        <f>IFERROR(_xlfn.XLOOKUP(D145,HELPER!$B:$B,HELPER!$D:$D,""),"")</f>
        <v/>
      </c>
      <c r="G145" s="42" t="n">
        <v>8</v>
      </c>
      <c r="H145" s="523" t="n">
        <v>0.015</v>
      </c>
      <c r="I145" s="63">
        <f>IF(AND(H145&lt;&gt;"",IFERROR(_xlfn.XLOOKUP(D145,HELPER!$B:$B,HELPER!$E:$E,""),"")=""),"Missing price",IFERROR(_xlfn.XLOOKUP(D145,HELPER!$B:$B,HELPER!$E:$E,"")," "))</f>
        <v/>
      </c>
      <c r="J145" s="72">
        <f>IFERROR(H145*(IF(G145=8,I145*HELPER!$G$2,BOM!I145*HELPER!$G$3))," ")</f>
        <v/>
      </c>
      <c r="K145" s="6" t="n"/>
      <c r="L145" s="14">
        <f t="array" ref="L145">IFERROR(_xlfn.LET(_xlpm.pairs,_xlfn._xlws.FILTER($A$2:$D$391,($A$2:$A$391&lt;&gt;"")*(TRIM($D$2:$D$391)&lt;&gt;"")),_xlpm.uniquePairs,_xlfn.UNIQUE(_xlfn.HSTACK(INDEX(_xlpm.pairs,,1),INDEX(_xlpm.pairs,,4))),_xlpm.sortedPairs,_xlfn._xlws.SORT(_xlpm.uniquePairs,1,1),IF(ROW()-1&lt;=ROWS(_xlpm.sortedPairs),INDEX(_xlpm.sortedPairs,ROW()-1,1),"")),"")</f>
        <v/>
      </c>
      <c r="M145" s="15">
        <f t="array" ref="M145">IFERROR(_xlfn.LET(_xlpm.pairs,_xlfn._xlws.FILTER($A$2:$D$391,($A$2:$A$391&lt;&gt;"")*(TRIM($D$2:$D$391)&lt;&gt;"")),_xlpm.uniquePairs,_xlfn.UNIQUE(_xlfn.HSTACK(INDEX(_xlpm.pairs,,1),INDEX(_xlpm.pairs,,4))),_xlpm.sortedPairs,_xlfn._xlws.SORT(_xlpm.uniquePairs,1,1),IF(ROW()-1&lt;=ROWS(_xlpm.sortedPairs),INDEX(_xlpm.sortedPairs,ROW()-1,2),"")),"")</f>
        <v/>
      </c>
      <c r="N145" s="15">
        <f t="array" ref="N145">IF(OR(L145="",M145=""),"",IFERROR(INDEX($E$2:$E$391,MATCH(1,($A$2:$A$391=L145)*($D$2:$D$391=M145),0)),""))</f>
        <v/>
      </c>
      <c r="O145" s="69">
        <f>IF(OR(L145="",M145=""),"",SUMIFS($J$2:$J$391,$A$2:$A$391,L145,$D$2:$D$391,M145))</f>
        <v/>
      </c>
      <c r="P145" s="6" t="n"/>
    </row>
    <row r="146">
      <c r="A146" s="44" t="inlineStr">
        <is>
          <t>TIPA 306M</t>
        </is>
      </c>
      <c r="B146" s="44" t="inlineStr">
        <is>
          <t>Ext. C (In)</t>
        </is>
      </c>
      <c r="C146" s="43" t="inlineStr">
        <is>
          <t>SLAB-PBSA</t>
        </is>
      </c>
      <c r="D146" s="43">
        <f>IF(C146="","",IFERROR(_xlfn.XLOOKUP(C146,HELPER!$A$2:$A$76,HELPER!$B$2:$B$76,""),D146))</f>
        <v/>
      </c>
      <c r="E146" s="43">
        <f>IFERROR(_xlfn.XLOOKUP(D146,HELPER!$B:$B,HELPER!$C:$C,""),"")</f>
        <v/>
      </c>
      <c r="F146" s="42">
        <f>IFERROR(_xlfn.XLOOKUP(D146,HELPER!$B:$B,HELPER!$D:$D,""),"")</f>
        <v/>
      </c>
      <c r="G146" s="42" t="n">
        <v>8</v>
      </c>
      <c r="H146" s="523" t="n">
        <v>0.02</v>
      </c>
      <c r="I146" s="63">
        <f>IF(AND(H146&lt;&gt;"",IFERROR(_xlfn.XLOOKUP(D146,HELPER!$B:$B,HELPER!$E:$E,""),"")=""),"Missing price",IFERROR(_xlfn.XLOOKUP(D146,HELPER!$B:$B,HELPER!$E:$E,"")," "))</f>
        <v/>
      </c>
      <c r="J146" s="72">
        <f>IFERROR(H146*(IF(G146=8,I146*HELPER!$G$2,BOM!I146*HELPER!$G$3))," ")</f>
        <v/>
      </c>
      <c r="K146" s="6" t="n"/>
      <c r="L146" s="14">
        <f t="array" ref="L146">IFERROR(_xlfn.LET(_xlpm.pairs,_xlfn._xlws.FILTER($A$2:$D$391,($A$2:$A$391&lt;&gt;"")*(TRIM($D$2:$D$391)&lt;&gt;"")),_xlpm.uniquePairs,_xlfn.UNIQUE(_xlfn.HSTACK(INDEX(_xlpm.pairs,,1),INDEX(_xlpm.pairs,,4))),_xlpm.sortedPairs,_xlfn._xlws.SORT(_xlpm.uniquePairs,1,1),IF(ROW()-1&lt;=ROWS(_xlpm.sortedPairs),INDEX(_xlpm.sortedPairs,ROW()-1,1),"")),"")</f>
        <v/>
      </c>
      <c r="M146" s="15">
        <f t="array" ref="M146">IFERROR(_xlfn.LET(_xlpm.pairs,_xlfn._xlws.FILTER($A$2:$D$391,($A$2:$A$391&lt;&gt;"")*(TRIM($D$2:$D$391)&lt;&gt;"")),_xlpm.uniquePairs,_xlfn.UNIQUE(_xlfn.HSTACK(INDEX(_xlpm.pairs,,1),INDEX(_xlpm.pairs,,4))),_xlpm.sortedPairs,_xlfn._xlws.SORT(_xlpm.uniquePairs,1,1),IF(ROW()-1&lt;=ROWS(_xlpm.sortedPairs),INDEX(_xlpm.sortedPairs,ROW()-1,2),"")),"")</f>
        <v/>
      </c>
      <c r="N146" s="15">
        <f t="array" ref="N146">IF(OR(L146="",M146=""),"",IFERROR(INDEX($E$2:$E$391,MATCH(1,($A$2:$A$391=L146)*($D$2:$D$391=M146),0)),""))</f>
        <v/>
      </c>
      <c r="O146" s="69">
        <f>IF(OR(L146="",M146=""),"",SUMIFS($J$2:$J$391,$A$2:$A$391,L146,$D$2:$D$391,M146))</f>
        <v/>
      </c>
      <c r="P146" s="6" t="n"/>
    </row>
    <row r="147">
      <c r="A147" s="44" t="inlineStr">
        <is>
          <t>TIPA 306M</t>
        </is>
      </c>
      <c r="B147" s="44" t="inlineStr">
        <is>
          <t>Ext. C (In)</t>
        </is>
      </c>
      <c r="C147" s="43" t="n"/>
      <c r="D147" s="43">
        <f>IF(C147="","",IFERROR(_xlfn.XLOOKUP(C147,HELPER!$A$2:$A$76,HELPER!$B$2:$B$76,""),D147))</f>
        <v/>
      </c>
      <c r="E147" s="43">
        <f>IFERROR(_xlfn.XLOOKUP(D147,HELPER!$B:$B,HELPER!$C:$C,""),"")</f>
        <v/>
      </c>
      <c r="F147" s="42">
        <f>IFERROR(_xlfn.XLOOKUP(D147,HELPER!$B:$B,HELPER!$D:$D,""),"")</f>
        <v/>
      </c>
      <c r="G147" s="42" t="n">
        <v>8</v>
      </c>
      <c r="I147" s="63">
        <f>IF(AND(H147&lt;&gt;"",IFERROR(_xlfn.XLOOKUP(D147,HELPER!$B:$B,HELPER!$E:$E,""),"")=""),"Missing price",IFERROR(_xlfn.XLOOKUP(D147,HELPER!$B:$B,HELPER!$E:$E,"")," "))</f>
        <v/>
      </c>
      <c r="J147" s="72">
        <f>IFERROR(H147*(IF(G147=8,I147*HELPER!$G$2,BOM!I147*HELPER!$G$3))," ")</f>
        <v/>
      </c>
      <c r="K147" s="6" t="n"/>
      <c r="L147" s="14">
        <f t="array" ref="L147">IFERROR(_xlfn.LET(_xlpm.pairs,_xlfn._xlws.FILTER($A$2:$D$391,($A$2:$A$391&lt;&gt;"")*(TRIM($D$2:$D$391)&lt;&gt;"")),_xlpm.uniquePairs,_xlfn.UNIQUE(_xlfn.HSTACK(INDEX(_xlpm.pairs,,1),INDEX(_xlpm.pairs,,4))),_xlpm.sortedPairs,_xlfn._xlws.SORT(_xlpm.uniquePairs,1,1),IF(ROW()-1&lt;=ROWS(_xlpm.sortedPairs),INDEX(_xlpm.sortedPairs,ROW()-1,1),"")),"")</f>
        <v/>
      </c>
      <c r="M147" s="15">
        <f t="array" ref="M147">IFERROR(_xlfn.LET(_xlpm.pairs,_xlfn._xlws.FILTER($A$2:$D$391,($A$2:$A$391&lt;&gt;"")*(TRIM($D$2:$D$391)&lt;&gt;"")),_xlpm.uniquePairs,_xlfn.UNIQUE(_xlfn.HSTACK(INDEX(_xlpm.pairs,,1),INDEX(_xlpm.pairs,,4))),_xlpm.sortedPairs,_xlfn._xlws.SORT(_xlpm.uniquePairs,1,1),IF(ROW()-1&lt;=ROWS(_xlpm.sortedPairs),INDEX(_xlpm.sortedPairs,ROW()-1,2),"")),"")</f>
        <v/>
      </c>
      <c r="N147" s="15">
        <f t="array" ref="N147">IF(OR(L147="",M147=""),"",IFERROR(INDEX($E$2:$E$391,MATCH(1,($A$2:$A$391=L147)*($D$2:$D$391=M147),0)),""))</f>
        <v/>
      </c>
      <c r="O147" s="69">
        <f>IF(OR(L147="",M147=""),"",SUMIFS($J$2:$J$391,$A$2:$A$391,L147,$D$2:$D$391,M147))</f>
        <v/>
      </c>
      <c r="P147" s="6" t="n"/>
    </row>
    <row r="148">
      <c r="A148" s="44" t="inlineStr">
        <is>
          <t>TIPA 306M</t>
        </is>
      </c>
      <c r="B148" s="44" t="inlineStr">
        <is>
          <t>Ext. C (In)</t>
        </is>
      </c>
      <c r="C148" s="43" t="n"/>
      <c r="D148" s="43">
        <f>IF(C148="","",IFERROR(_xlfn.XLOOKUP(C148,HELPER!$A$2:$A$76,HELPER!$B$2:$B$76,""),D148))</f>
        <v/>
      </c>
      <c r="E148" s="43">
        <f>IFERROR(_xlfn.XLOOKUP(D148,HELPER!$B:$B,HELPER!$C:$C,""),"")</f>
        <v/>
      </c>
      <c r="F148" s="42">
        <f>IFERROR(_xlfn.XLOOKUP(D148,HELPER!$B:$B,HELPER!$D:$D,""),"")</f>
        <v/>
      </c>
      <c r="G148" s="42" t="n">
        <v>8</v>
      </c>
      <c r="I148" s="63">
        <f>IF(AND(H148&lt;&gt;"",IFERROR(_xlfn.XLOOKUP(D148,HELPER!$B:$B,HELPER!$E:$E,""),"")=""),"Missing price",IFERROR(_xlfn.XLOOKUP(D148,HELPER!$B:$B,HELPER!$E:$E,"")," "))</f>
        <v/>
      </c>
      <c r="J148" s="72">
        <f>IFERROR(H148*(IF(G148=8,I148*HELPER!$G$2,BOM!I148*HELPER!$G$3))," ")</f>
        <v/>
      </c>
      <c r="K148" s="6" t="n"/>
      <c r="L148" s="14">
        <f t="array" ref="L148">IFERROR(_xlfn.LET(_xlpm.pairs,_xlfn._xlws.FILTER($A$2:$D$391,($A$2:$A$391&lt;&gt;"")*(TRIM($D$2:$D$391)&lt;&gt;"")),_xlpm.uniquePairs,_xlfn.UNIQUE(_xlfn.HSTACK(INDEX(_xlpm.pairs,,1),INDEX(_xlpm.pairs,,4))),_xlpm.sortedPairs,_xlfn._xlws.SORT(_xlpm.uniquePairs,1,1),IF(ROW()-1&lt;=ROWS(_xlpm.sortedPairs),INDEX(_xlpm.sortedPairs,ROW()-1,1),"")),"")</f>
        <v/>
      </c>
      <c r="M148" s="15">
        <f t="array" ref="M148">IFERROR(_xlfn.LET(_xlpm.pairs,_xlfn._xlws.FILTER($A$2:$D$391,($A$2:$A$391&lt;&gt;"")*(TRIM($D$2:$D$391)&lt;&gt;"")),_xlpm.uniquePairs,_xlfn.UNIQUE(_xlfn.HSTACK(INDEX(_xlpm.pairs,,1),INDEX(_xlpm.pairs,,4))),_xlpm.sortedPairs,_xlfn._xlws.SORT(_xlpm.uniquePairs,1,1),IF(ROW()-1&lt;=ROWS(_xlpm.sortedPairs),INDEX(_xlpm.sortedPairs,ROW()-1,2),"")),"")</f>
        <v/>
      </c>
      <c r="N148" s="15">
        <f t="array" ref="N148">IF(OR(L148="",M148=""),"",IFERROR(INDEX($E$2:$E$391,MATCH(1,($A$2:$A$391=L148)*($D$2:$D$391=M148),0)),""))</f>
        <v/>
      </c>
      <c r="O148" s="69">
        <f>IF(OR(L148="",M148=""),"",SUMIFS($J$2:$J$391,$A$2:$A$391,L148,$D$2:$D$391,M148))</f>
        <v/>
      </c>
      <c r="P148" s="6" t="n"/>
    </row>
    <row r="149">
      <c r="A149" s="44" t="inlineStr">
        <is>
          <t>TIPA 306M</t>
        </is>
      </c>
      <c r="B149" s="44" t="inlineStr">
        <is>
          <t>Ext. C (In)</t>
        </is>
      </c>
      <c r="C149" s="43" t="n"/>
      <c r="D149" s="43">
        <f>IF(C149="","",IFERROR(_xlfn.XLOOKUP(C149,HELPER!$A$2:$A$76,HELPER!$B$2:$B$76,""),D149))</f>
        <v/>
      </c>
      <c r="E149" s="43">
        <f>IFERROR(_xlfn.XLOOKUP(D149,HELPER!$B:$B,HELPER!$C:$C,""),"")</f>
        <v/>
      </c>
      <c r="F149" s="42">
        <f>IFERROR(_xlfn.XLOOKUP(D149,HELPER!$B:$B,HELPER!$D:$D,""),"")</f>
        <v/>
      </c>
      <c r="G149" s="42" t="n">
        <v>8</v>
      </c>
      <c r="I149" s="63">
        <f>IF(AND(H149&lt;&gt;"",IFERROR(_xlfn.XLOOKUP(D149,HELPER!$B:$B,HELPER!$E:$E,""),"")=""),"Missing price",IFERROR(_xlfn.XLOOKUP(D149,HELPER!$B:$B,HELPER!$E:$E,"")," "))</f>
        <v/>
      </c>
      <c r="J149" s="72">
        <f>IFERROR(H149*(IF(G149=8,I149*HELPER!$G$2,BOM!I149*HELPER!$G$3))," ")</f>
        <v/>
      </c>
      <c r="K149" s="6" t="n"/>
      <c r="L149" s="14">
        <f t="array" ref="L149">IFERROR(_xlfn.LET(_xlpm.pairs,_xlfn._xlws.FILTER($A$2:$D$391,($A$2:$A$391&lt;&gt;"")*(TRIM($D$2:$D$391)&lt;&gt;"")),_xlpm.uniquePairs,_xlfn.UNIQUE(_xlfn.HSTACK(INDEX(_xlpm.pairs,,1),INDEX(_xlpm.pairs,,4))),_xlpm.sortedPairs,_xlfn._xlws.SORT(_xlpm.uniquePairs,1,1),IF(ROW()-1&lt;=ROWS(_xlpm.sortedPairs),INDEX(_xlpm.sortedPairs,ROW()-1,1),"")),"")</f>
        <v/>
      </c>
      <c r="M149" s="15">
        <f t="array" ref="M149">IFERROR(_xlfn.LET(_xlpm.pairs,_xlfn._xlws.FILTER($A$2:$D$391,($A$2:$A$391&lt;&gt;"")*(TRIM($D$2:$D$391)&lt;&gt;"")),_xlpm.uniquePairs,_xlfn.UNIQUE(_xlfn.HSTACK(INDEX(_xlpm.pairs,,1),INDEX(_xlpm.pairs,,4))),_xlpm.sortedPairs,_xlfn._xlws.SORT(_xlpm.uniquePairs,1,1),IF(ROW()-1&lt;=ROWS(_xlpm.sortedPairs),INDEX(_xlpm.sortedPairs,ROW()-1,2),"")),"")</f>
        <v/>
      </c>
      <c r="N149" s="15">
        <f t="array" ref="N149">IF(OR(L149="",M149=""),"",IFERROR(INDEX($E$2:$E$391,MATCH(1,($A$2:$A$391=L149)*($D$2:$D$391=M149),0)),""))</f>
        <v/>
      </c>
      <c r="O149" s="69">
        <f>IF(OR(L149="",M149=""),"",SUMIFS($J$2:$J$391,$A$2:$A$391,L149,$D$2:$D$391,M149))</f>
        <v/>
      </c>
      <c r="P149" s="6" t="n"/>
    </row>
    <row r="150">
      <c r="A150" s="44" t="inlineStr">
        <is>
          <t>TIPA 306M</t>
        </is>
      </c>
      <c r="B150" s="44" t="inlineStr">
        <is>
          <t>Ext. C (In)</t>
        </is>
      </c>
      <c r="C150" s="43" t="n"/>
      <c r="D150" s="43">
        <f>IF(C150="","",IFERROR(_xlfn.XLOOKUP(C150,HELPER!$A$2:$A$76,HELPER!$B$2:$B$76,""),D150))</f>
        <v/>
      </c>
      <c r="E150" s="43">
        <f>IFERROR(_xlfn.XLOOKUP(D150,HELPER!$B:$B,HELPER!$C:$C,""),"")</f>
        <v/>
      </c>
      <c r="F150" s="42">
        <f>IFERROR(_xlfn.XLOOKUP(D150,HELPER!$B:$B,HELPER!$D:$D,""),"")</f>
        <v/>
      </c>
      <c r="G150" s="42" t="n">
        <v>8</v>
      </c>
      <c r="I150" s="63">
        <f>IF(AND(H150&lt;&gt;"",IFERROR(_xlfn.XLOOKUP(D150,HELPER!$B:$B,HELPER!$E:$E,""),"")=""),"Missing price",IFERROR(_xlfn.XLOOKUP(D150,HELPER!$B:$B,HELPER!$E:$E,"")," "))</f>
        <v/>
      </c>
      <c r="J150" s="72">
        <f>IFERROR(H150*(IF(G150=8,I150*HELPER!$G$2,BOM!I150*HELPER!$G$3))," ")</f>
        <v/>
      </c>
      <c r="K150" s="6" t="n"/>
      <c r="L150" s="14">
        <f t="array" ref="L150">IFERROR(_xlfn.LET(_xlpm.pairs,_xlfn._xlws.FILTER($A$2:$D$391,($A$2:$A$391&lt;&gt;"")*(TRIM($D$2:$D$391)&lt;&gt;"")),_xlpm.uniquePairs,_xlfn.UNIQUE(_xlfn.HSTACK(INDEX(_xlpm.pairs,,1),INDEX(_xlpm.pairs,,4))),_xlpm.sortedPairs,_xlfn._xlws.SORT(_xlpm.uniquePairs,1,1),IF(ROW()-1&lt;=ROWS(_xlpm.sortedPairs),INDEX(_xlpm.sortedPairs,ROW()-1,1),"")),"")</f>
        <v/>
      </c>
      <c r="M150" s="15">
        <f t="array" ref="M150">IFERROR(_xlfn.LET(_xlpm.pairs,_xlfn._xlws.FILTER($A$2:$D$391,($A$2:$A$391&lt;&gt;"")*(TRIM($D$2:$D$391)&lt;&gt;"")),_xlpm.uniquePairs,_xlfn.UNIQUE(_xlfn.HSTACK(INDEX(_xlpm.pairs,,1),INDEX(_xlpm.pairs,,4))),_xlpm.sortedPairs,_xlfn._xlws.SORT(_xlpm.uniquePairs,1,1),IF(ROW()-1&lt;=ROWS(_xlpm.sortedPairs),INDEX(_xlpm.sortedPairs,ROW()-1,2),"")),"")</f>
        <v/>
      </c>
      <c r="N150" s="15">
        <f t="array" ref="N150">IF(OR(L150="",M150=""),"",IFERROR(INDEX($E$2:$E$391,MATCH(1,($A$2:$A$391=L150)*($D$2:$D$391=M150),0)),""))</f>
        <v/>
      </c>
      <c r="O150" s="69">
        <f>IF(OR(L150="",M150=""),"",SUMIFS($J$2:$J$391,$A$2:$A$391,L150,$D$2:$D$391,M150))</f>
        <v/>
      </c>
      <c r="P150" s="6" t="n"/>
    </row>
    <row r="151">
      <c r="A151" s="44" t="inlineStr">
        <is>
          <t>TIPA 306M</t>
        </is>
      </c>
      <c r="B151" s="44" t="inlineStr">
        <is>
          <t>Ext. C (In)</t>
        </is>
      </c>
      <c r="C151" s="43" t="n"/>
      <c r="D151" s="43">
        <f>IF(C151="","",IFERROR(_xlfn.XLOOKUP(C151,HELPER!$A$2:$A$76,HELPER!$B$2:$B$76,""),D151))</f>
        <v/>
      </c>
      <c r="E151" s="43">
        <f>IFERROR(_xlfn.XLOOKUP(D151,HELPER!$B:$B,HELPER!$C:$C,""),"")</f>
        <v/>
      </c>
      <c r="F151" s="42">
        <f>IFERROR(_xlfn.XLOOKUP(D151,HELPER!$B:$B,HELPER!$D:$D,""),"")</f>
        <v/>
      </c>
      <c r="G151" s="42" t="n">
        <v>8</v>
      </c>
      <c r="I151" s="63">
        <f>IF(AND(H151&lt;&gt;"",IFERROR(_xlfn.XLOOKUP(D151,HELPER!$B:$B,HELPER!$E:$E,""),"")=""),"Missing price",IFERROR(_xlfn.XLOOKUP(D151,HELPER!$B:$B,HELPER!$E:$E,"")," "))</f>
        <v/>
      </c>
      <c r="J151" s="72">
        <f>IFERROR(H151*(IF(G151=8,I151*HELPER!$G$2,BOM!I151*HELPER!$G$3))," ")</f>
        <v/>
      </c>
      <c r="K151" s="6" t="n"/>
      <c r="L151" s="14">
        <f t="array" ref="L151">IFERROR(_xlfn.LET(_xlpm.pairs,_xlfn._xlws.FILTER($A$2:$D$391,($A$2:$A$391&lt;&gt;"")*(TRIM($D$2:$D$391)&lt;&gt;"")),_xlpm.uniquePairs,_xlfn.UNIQUE(_xlfn.HSTACK(INDEX(_xlpm.pairs,,1),INDEX(_xlpm.pairs,,4))),_xlpm.sortedPairs,_xlfn._xlws.SORT(_xlpm.uniquePairs,1,1),IF(ROW()-1&lt;=ROWS(_xlpm.sortedPairs),INDEX(_xlpm.sortedPairs,ROW()-1,1),"")),"")</f>
        <v/>
      </c>
      <c r="M151" s="15">
        <f t="array" ref="M151">IFERROR(_xlfn.LET(_xlpm.pairs,_xlfn._xlws.FILTER($A$2:$D$391,($A$2:$A$391&lt;&gt;"")*(TRIM($D$2:$D$391)&lt;&gt;"")),_xlpm.uniquePairs,_xlfn.UNIQUE(_xlfn.HSTACK(INDEX(_xlpm.pairs,,1),INDEX(_xlpm.pairs,,4))),_xlpm.sortedPairs,_xlfn._xlws.SORT(_xlpm.uniquePairs,1,1),IF(ROW()-1&lt;=ROWS(_xlpm.sortedPairs),INDEX(_xlpm.sortedPairs,ROW()-1,2),"")),"")</f>
        <v/>
      </c>
      <c r="N151" s="15">
        <f t="array" ref="N151">IF(OR(L151="",M151=""),"",IFERROR(INDEX($E$2:$E$391,MATCH(1,($A$2:$A$391=L151)*($D$2:$D$391=M151),0)),""))</f>
        <v/>
      </c>
      <c r="O151" s="69">
        <f>IF(OR(L151="",M151=""),"",SUMIFS($J$2:$J$391,$A$2:$A$391,L151,$D$2:$D$391,M151))</f>
        <v/>
      </c>
      <c r="P151" s="6" t="n"/>
    </row>
    <row r="152">
      <c r="A152" s="44" t="inlineStr">
        <is>
          <t>TIPA 306W</t>
        </is>
      </c>
      <c r="B152" s="44" t="inlineStr">
        <is>
          <t>Ext. A (Out - Chillroll)</t>
        </is>
      </c>
      <c r="C152" s="43" t="inlineStr">
        <is>
          <t>PLA</t>
        </is>
      </c>
      <c r="D152" s="43">
        <f>IF(C152="","",IFERROR(_xlfn.XLOOKUP(C152,HELPER!$A$2:$A$76,HELPER!$B$2:$B$76,""),D152))</f>
        <v/>
      </c>
      <c r="E152" s="43">
        <f>IFERROR(_xlfn.XLOOKUP(D152,HELPER!$B:$B,HELPER!$C:$C,""),"")</f>
        <v/>
      </c>
      <c r="F152" s="42">
        <f>IFERROR(_xlfn.XLOOKUP(D152,HELPER!$B:$B,HELPER!$D:$D,""),"")</f>
        <v/>
      </c>
      <c r="G152" s="42" t="n">
        <v>8</v>
      </c>
      <c r="H152" s="556" t="n">
        <v>0.774</v>
      </c>
      <c r="I152" s="72">
        <f>IF(AND(H152&lt;&gt;"",IFERROR(_xlfn.XLOOKUP(D152,HELPER!$B:$B,HELPER!$E:$E,""),"")=""),"Missing price",IFERROR(_xlfn.XLOOKUP(D152,HELPER!$B:$B,HELPER!$E:$E,"")," "))</f>
        <v/>
      </c>
      <c r="J152" s="72">
        <f>IFERROR(H152*(IF(G152=8,I152*HELPER!$G$2,BOM!I152*HELPER!$G$3))," ")</f>
        <v/>
      </c>
      <c r="K152" s="6" t="n"/>
      <c r="L152" s="14">
        <f t="array" ref="L152">IFERROR(_xlfn.LET(_xlpm.pairs,_xlfn._xlws.FILTER($A$2:$D$391,($A$2:$A$391&lt;&gt;"")*(TRIM($D$2:$D$391)&lt;&gt;"")),_xlpm.uniquePairs,_xlfn.UNIQUE(_xlfn.HSTACK(INDEX(_xlpm.pairs,,1),INDEX(_xlpm.pairs,,4))),_xlpm.sortedPairs,_xlfn._xlws.SORT(_xlpm.uniquePairs,1,1),IF(ROW()-1&lt;=ROWS(_xlpm.sortedPairs),INDEX(_xlpm.sortedPairs,ROW()-1,1),"")),"")</f>
        <v/>
      </c>
      <c r="M152" s="15">
        <f t="array" ref="M152">IFERROR(_xlfn.LET(_xlpm.pairs,_xlfn._xlws.FILTER($A$2:$D$391,($A$2:$A$391&lt;&gt;"")*(TRIM($D$2:$D$391)&lt;&gt;"")),_xlpm.uniquePairs,_xlfn.UNIQUE(_xlfn.HSTACK(INDEX(_xlpm.pairs,,1),INDEX(_xlpm.pairs,,4))),_xlpm.sortedPairs,_xlfn._xlws.SORT(_xlpm.uniquePairs,1,1),IF(ROW()-1&lt;=ROWS(_xlpm.sortedPairs),INDEX(_xlpm.sortedPairs,ROW()-1,2),"")),"")</f>
        <v/>
      </c>
      <c r="N152" s="15">
        <f t="array" ref="N152">IF(OR(L152="",M152=""),"",IFERROR(INDEX($E$2:$E$391,MATCH(1,($A$2:$A$391=L152)*($D$2:$D$391=M152),0)),""))</f>
        <v/>
      </c>
      <c r="O152" s="69">
        <f>IF(OR(L152="",M152=""),"",SUMIFS($J$2:$J$391,$A$2:$A$391,L152,$D$2:$D$391,M152))</f>
        <v/>
      </c>
      <c r="P152" s="6" t="n"/>
    </row>
    <row r="153">
      <c r="A153" s="44" t="inlineStr">
        <is>
          <t>TIPA 306W</t>
        </is>
      </c>
      <c r="B153" s="44" t="inlineStr">
        <is>
          <t>Ext. A (Out - Chillroll)</t>
        </is>
      </c>
      <c r="C153" s="43" t="inlineStr">
        <is>
          <t>PCL</t>
        </is>
      </c>
      <c r="D153" s="43">
        <f>IF(C153="","",IFERROR(_xlfn.XLOOKUP(C153,HELPER!$A$2:$A$76,HELPER!$B$2:$B$76,""),D153))</f>
        <v/>
      </c>
      <c r="E153" s="43">
        <f>IFERROR(_xlfn.XLOOKUP(D153,HELPER!$B:$B,HELPER!$C:$C,""),"")</f>
        <v/>
      </c>
      <c r="F153" s="42">
        <f>IFERROR(_xlfn.XLOOKUP(D153,HELPER!$B:$B,HELPER!$D:$D,""),"")</f>
        <v/>
      </c>
      <c r="G153" s="42" t="n">
        <v>8</v>
      </c>
      <c r="H153" s="556" t="n">
        <v>0.176</v>
      </c>
      <c r="I153" s="72">
        <f>IF(AND(H153&lt;&gt;"",IFERROR(_xlfn.XLOOKUP(D153,HELPER!$B:$B,HELPER!$E:$E,""),"")=""),"Missing price",IFERROR(_xlfn.XLOOKUP(D153,HELPER!$B:$B,HELPER!$E:$E,"")," "))</f>
        <v/>
      </c>
      <c r="J153" s="72">
        <f>IFERROR(H153*(IF(G153=8,I153*HELPER!$G$2,BOM!I153*HELPER!$G$3))," ")</f>
        <v/>
      </c>
      <c r="K153" s="6" t="n"/>
      <c r="L153" s="14">
        <f t="array" ref="L153">IFERROR(_xlfn.LET(_xlpm.pairs,_xlfn._xlws.FILTER($A$2:$D$391,($A$2:$A$391&lt;&gt;"")*(TRIM($D$2:$D$391)&lt;&gt;"")),_xlpm.uniquePairs,_xlfn.UNIQUE(_xlfn.HSTACK(INDEX(_xlpm.pairs,,1),INDEX(_xlpm.pairs,,4))),_xlpm.sortedPairs,_xlfn._xlws.SORT(_xlpm.uniquePairs,1,1),IF(ROW()-1&lt;=ROWS(_xlpm.sortedPairs),INDEX(_xlpm.sortedPairs,ROW()-1,1),"")),"")</f>
        <v/>
      </c>
      <c r="M153" s="15">
        <f t="array" ref="M153">IFERROR(_xlfn.LET(_xlpm.pairs,_xlfn._xlws.FILTER($A$2:$D$391,($A$2:$A$391&lt;&gt;"")*(TRIM($D$2:$D$391)&lt;&gt;"")),_xlpm.uniquePairs,_xlfn.UNIQUE(_xlfn.HSTACK(INDEX(_xlpm.pairs,,1),INDEX(_xlpm.pairs,,4))),_xlpm.sortedPairs,_xlfn._xlws.SORT(_xlpm.uniquePairs,1,1),IF(ROW()-1&lt;=ROWS(_xlpm.sortedPairs),INDEX(_xlpm.sortedPairs,ROW()-1,2),"")),"")</f>
        <v/>
      </c>
      <c r="N153" s="15">
        <f t="array" ref="N153">IF(OR(L153="",M153=""),"",IFERROR(INDEX($E$2:$E$391,MATCH(1,($A$2:$A$391=L153)*($D$2:$D$391=M153),0)),""))</f>
        <v/>
      </c>
      <c r="O153" s="69">
        <f>IF(OR(L153="",M153=""),"",SUMIFS($J$2:$J$391,$A$2:$A$391,L153,$D$2:$D$391,M153))</f>
        <v/>
      </c>
      <c r="P153" s="6" t="n"/>
    </row>
    <row r="154">
      <c r="A154" s="44" t="inlineStr">
        <is>
          <t>TIPA 306W</t>
        </is>
      </c>
      <c r="B154" s="44" t="inlineStr">
        <is>
          <t>Ext. A (Out - Chillroll)</t>
        </is>
      </c>
      <c r="C154" s="43" t="inlineStr">
        <is>
          <t>AO-PBS</t>
        </is>
      </c>
      <c r="D154" s="43">
        <f>IF(C154="","",IFERROR(_xlfn.XLOOKUP(C154,HELPER!$A$2:$A$76,HELPER!$B$2:$B$76,""),D154))</f>
        <v/>
      </c>
      <c r="E154" s="43">
        <f>IFERROR(_xlfn.XLOOKUP(D154,HELPER!$B:$B,HELPER!$C:$C,""),"")</f>
        <v/>
      </c>
      <c r="F154" s="42">
        <f>IFERROR(_xlfn.XLOOKUP(D154,HELPER!$B:$B,HELPER!$D:$D,""),"")</f>
        <v/>
      </c>
      <c r="G154" s="42" t="n">
        <v>8</v>
      </c>
      <c r="H154" s="556" t="n">
        <v>0.015</v>
      </c>
      <c r="I154" s="72">
        <f>IF(AND(H154&lt;&gt;"",IFERROR(_xlfn.XLOOKUP(D154,HELPER!$B:$B,HELPER!$E:$E,""),"")=""),"Missing price",IFERROR(_xlfn.XLOOKUP(D154,HELPER!$B:$B,HELPER!$E:$E,"")," "))</f>
        <v/>
      </c>
      <c r="J154" s="72">
        <f>IFERROR(H154*(IF(G154=8,I154*HELPER!$G$2,BOM!I154*HELPER!$G$3))," ")</f>
        <v/>
      </c>
      <c r="K154" s="6" t="n"/>
      <c r="L154" s="14">
        <f t="array" ref="L154">IFERROR(_xlfn.LET(_xlpm.pairs,_xlfn._xlws.FILTER($A$2:$D$391,($A$2:$A$391&lt;&gt;"")*(TRIM($D$2:$D$391)&lt;&gt;"")),_xlpm.uniquePairs,_xlfn.UNIQUE(_xlfn.HSTACK(INDEX(_xlpm.pairs,,1),INDEX(_xlpm.pairs,,4))),_xlpm.sortedPairs,_xlfn._xlws.SORT(_xlpm.uniquePairs,1,1),IF(ROW()-1&lt;=ROWS(_xlpm.sortedPairs),INDEX(_xlpm.sortedPairs,ROW()-1,1),"")),"")</f>
        <v/>
      </c>
      <c r="M154" s="15">
        <f t="array" ref="M154">IFERROR(_xlfn.LET(_xlpm.pairs,_xlfn._xlws.FILTER($A$2:$D$391,($A$2:$A$391&lt;&gt;"")*(TRIM($D$2:$D$391)&lt;&gt;"")),_xlpm.uniquePairs,_xlfn.UNIQUE(_xlfn.HSTACK(INDEX(_xlpm.pairs,,1),INDEX(_xlpm.pairs,,4))),_xlpm.sortedPairs,_xlfn._xlws.SORT(_xlpm.uniquePairs,1,1),IF(ROW()-1&lt;=ROWS(_xlpm.sortedPairs),INDEX(_xlpm.sortedPairs,ROW()-1,2),"")),"")</f>
        <v/>
      </c>
      <c r="N154" s="15">
        <f t="array" ref="N154">IF(OR(L154="",M154=""),"",IFERROR(INDEX($E$2:$E$391,MATCH(1,($A$2:$A$391=L154)*($D$2:$D$391=M154),0)),""))</f>
        <v/>
      </c>
      <c r="O154" s="69">
        <f>IF(OR(L154="",M154=""),"",SUMIFS($J$2:$J$391,$A$2:$A$391,L154,$D$2:$D$391,M154))</f>
        <v/>
      </c>
      <c r="P154" s="6" t="n"/>
    </row>
    <row r="155">
      <c r="A155" s="44" t="inlineStr">
        <is>
          <t>TIPA 306W</t>
        </is>
      </c>
      <c r="B155" s="44" t="inlineStr">
        <is>
          <t>Ext. A (Out - Chillroll)</t>
        </is>
      </c>
      <c r="C155" s="43" t="inlineStr">
        <is>
          <t>AB-PLA</t>
        </is>
      </c>
      <c r="D155" s="43">
        <f>IF(C155="","",IFERROR(_xlfn.XLOOKUP(C155,HELPER!$A$2:$A$76,HELPER!$B$2:$B$76,""),D155))</f>
        <v/>
      </c>
      <c r="E155" s="43">
        <f>IFERROR(_xlfn.XLOOKUP(D155,HELPER!$B:$B,HELPER!$C:$C,""),"")</f>
        <v/>
      </c>
      <c r="F155" s="42">
        <f>IFERROR(_xlfn.XLOOKUP(D155,HELPER!$B:$B,HELPER!$D:$D,""),"")</f>
        <v/>
      </c>
      <c r="G155" s="42" t="n">
        <v>8</v>
      </c>
      <c r="H155" s="556" t="n">
        <v>0.015</v>
      </c>
      <c r="I155" s="72">
        <f>IF(AND(H155&lt;&gt;"",IFERROR(_xlfn.XLOOKUP(D155,HELPER!$B:$B,HELPER!$E:$E,""),"")=""),"Missing price",IFERROR(_xlfn.XLOOKUP(D155,HELPER!$B:$B,HELPER!$E:$E,"")," "))</f>
        <v/>
      </c>
      <c r="J155" s="72">
        <f>IFERROR(H155*(IF(G155=8,I155*HELPER!$G$2,BOM!I155*HELPER!$G$3))," ")</f>
        <v/>
      </c>
      <c r="K155" s="6" t="n"/>
      <c r="L155" s="14">
        <f t="array" ref="L155">IFERROR(_xlfn.LET(_xlpm.pairs,_xlfn._xlws.FILTER($A$2:$D$391,($A$2:$A$391&lt;&gt;"")*(TRIM($D$2:$D$391)&lt;&gt;"")),_xlpm.uniquePairs,_xlfn.UNIQUE(_xlfn.HSTACK(INDEX(_xlpm.pairs,,1),INDEX(_xlpm.pairs,,4))),_xlpm.sortedPairs,_xlfn._xlws.SORT(_xlpm.uniquePairs,1,1),IF(ROW()-1&lt;=ROWS(_xlpm.sortedPairs),INDEX(_xlpm.sortedPairs,ROW()-1,1),"")),"")</f>
        <v/>
      </c>
      <c r="M155" s="15">
        <f t="array" ref="M155">IFERROR(_xlfn.LET(_xlpm.pairs,_xlfn._xlws.FILTER($A$2:$D$391,($A$2:$A$391&lt;&gt;"")*(TRIM($D$2:$D$391)&lt;&gt;"")),_xlpm.uniquePairs,_xlfn.UNIQUE(_xlfn.HSTACK(INDEX(_xlpm.pairs,,1),INDEX(_xlpm.pairs,,4))),_xlpm.sortedPairs,_xlfn._xlws.SORT(_xlpm.uniquePairs,1,1),IF(ROW()-1&lt;=ROWS(_xlpm.sortedPairs),INDEX(_xlpm.sortedPairs,ROW()-1,2),"")),"")</f>
        <v/>
      </c>
      <c r="N155" s="15">
        <f t="array" ref="N155">IF(OR(L155="",M155=""),"",IFERROR(INDEX($E$2:$E$391,MATCH(1,($A$2:$A$391=L155)*($D$2:$D$391=M155),0)),""))</f>
        <v/>
      </c>
      <c r="O155" s="69">
        <f>IF(OR(L155="",M155=""),"",SUMIFS($J$2:$J$391,$A$2:$A$391,L155,$D$2:$D$391,M155))</f>
        <v/>
      </c>
      <c r="P155" s="6" t="n"/>
    </row>
    <row r="156">
      <c r="A156" s="44" t="inlineStr">
        <is>
          <t>TIPA 306W</t>
        </is>
      </c>
      <c r="B156" s="44" t="inlineStr">
        <is>
          <t>Ext. A (Out - Chillroll)</t>
        </is>
      </c>
      <c r="C156" s="43" t="inlineStr">
        <is>
          <t>SLAB-PBSA</t>
        </is>
      </c>
      <c r="D156" s="43">
        <f>IF(C156="","",IFERROR(_xlfn.XLOOKUP(C156,HELPER!$A$2:$A$76,HELPER!$B$2:$B$76,""),D156))</f>
        <v/>
      </c>
      <c r="E156" s="43">
        <f>IFERROR(_xlfn.XLOOKUP(D156,HELPER!$B:$B,HELPER!$C:$C,""),"")</f>
        <v/>
      </c>
      <c r="F156" s="42">
        <f>IFERROR(_xlfn.XLOOKUP(D156,HELPER!$B:$B,HELPER!$D:$D,""),"")</f>
        <v/>
      </c>
      <c r="G156" s="42" t="n">
        <v>8</v>
      </c>
      <c r="H156" s="556" t="n">
        <v>0.02</v>
      </c>
      <c r="I156" s="72">
        <f>IF(AND(H156&lt;&gt;"",IFERROR(_xlfn.XLOOKUP(D156,HELPER!$B:$B,HELPER!$E:$E,""),"")=""),"Missing price",IFERROR(_xlfn.XLOOKUP(D156,HELPER!$B:$B,HELPER!$E:$E,"")," "))</f>
        <v/>
      </c>
      <c r="J156" s="72">
        <f>IFERROR(H156*(IF(G156=8,I156*HELPER!$G$2,BOM!I156*HELPER!$G$3))," ")</f>
        <v/>
      </c>
      <c r="K156" s="6" t="n"/>
      <c r="L156" s="14">
        <f t="array" ref="L156">IFERROR(_xlfn.LET(_xlpm.pairs,_xlfn._xlws.FILTER($A$2:$D$391,($A$2:$A$391&lt;&gt;"")*(TRIM($D$2:$D$391)&lt;&gt;"")),_xlpm.uniquePairs,_xlfn.UNIQUE(_xlfn.HSTACK(INDEX(_xlpm.pairs,,1),INDEX(_xlpm.pairs,,4))),_xlpm.sortedPairs,_xlfn._xlws.SORT(_xlpm.uniquePairs,1,1),IF(ROW()-1&lt;=ROWS(_xlpm.sortedPairs),INDEX(_xlpm.sortedPairs,ROW()-1,1),"")),"")</f>
        <v/>
      </c>
      <c r="M156" s="15">
        <f t="array" ref="M156">IFERROR(_xlfn.LET(_xlpm.pairs,_xlfn._xlws.FILTER($A$2:$D$391,($A$2:$A$391&lt;&gt;"")*(TRIM($D$2:$D$391)&lt;&gt;"")),_xlpm.uniquePairs,_xlfn.UNIQUE(_xlfn.HSTACK(INDEX(_xlpm.pairs,,1),INDEX(_xlpm.pairs,,4))),_xlpm.sortedPairs,_xlfn._xlws.SORT(_xlpm.uniquePairs,1,1),IF(ROW()-1&lt;=ROWS(_xlpm.sortedPairs),INDEX(_xlpm.sortedPairs,ROW()-1,2),"")),"")</f>
        <v/>
      </c>
      <c r="N156" s="15">
        <f t="array" ref="N156">IF(OR(L156="",M156=""),"",IFERROR(INDEX($E$2:$E$391,MATCH(1,($A$2:$A$391=L156)*($D$2:$D$391=M156),0)),""))</f>
        <v/>
      </c>
      <c r="O156" s="69">
        <f>IF(OR(L156="",M156=""),"",SUMIFS($J$2:$J$391,$A$2:$A$391,L156,$D$2:$D$391,M156))</f>
        <v/>
      </c>
      <c r="P156" s="6" t="n"/>
    </row>
    <row r="157">
      <c r="A157" s="44" t="inlineStr">
        <is>
          <t>TIPA 306W</t>
        </is>
      </c>
      <c r="B157" s="44" t="inlineStr">
        <is>
          <t>Ext. A (Out - Chillroll)</t>
        </is>
      </c>
      <c r="C157" s="43" t="n"/>
      <c r="D157" s="43">
        <f>IF(C157="","",IFERROR(_xlfn.XLOOKUP(C157,HELPER!$A$2:$A$76,HELPER!$B$2:$B$76,""),D157))</f>
        <v/>
      </c>
      <c r="E157" s="43">
        <f>IFERROR(_xlfn.XLOOKUP(D157,HELPER!$B:$B,HELPER!$C:$C,""),"")</f>
        <v/>
      </c>
      <c r="F157" s="42">
        <f>IFERROR(_xlfn.XLOOKUP(D157,HELPER!$B:$B,HELPER!$D:$D,""),"")</f>
        <v/>
      </c>
      <c r="G157" s="42" t="n">
        <v>8</v>
      </c>
      <c r="H157" s="556" t="n"/>
      <c r="I157" s="72">
        <f>IF(AND(H157&lt;&gt;"",IFERROR(_xlfn.XLOOKUP(D157,HELPER!$B:$B,HELPER!$E:$E,""),"")=""),"Missing price",IFERROR(_xlfn.XLOOKUP(D157,HELPER!$B:$B,HELPER!$E:$E,"")," "))</f>
        <v/>
      </c>
      <c r="J157" s="72">
        <f>IFERROR(H157*(IF(G157=8,I157*HELPER!$G$2,BOM!I157*HELPER!$G$3))," ")</f>
        <v/>
      </c>
      <c r="K157" s="6" t="n"/>
      <c r="L157" s="14">
        <f t="array" ref="L157">IFERROR(_xlfn.LET(_xlpm.pairs,_xlfn._xlws.FILTER($A$2:$D$391,($A$2:$A$391&lt;&gt;"")*(TRIM($D$2:$D$391)&lt;&gt;"")),_xlpm.uniquePairs,_xlfn.UNIQUE(_xlfn.HSTACK(INDEX(_xlpm.pairs,,1),INDEX(_xlpm.pairs,,4))),_xlpm.sortedPairs,_xlfn._xlws.SORT(_xlpm.uniquePairs,1,1),IF(ROW()-1&lt;=ROWS(_xlpm.sortedPairs),INDEX(_xlpm.sortedPairs,ROW()-1,1),"")),"")</f>
        <v/>
      </c>
      <c r="M157" s="15">
        <f t="array" ref="M157">IFERROR(_xlfn.LET(_xlpm.pairs,_xlfn._xlws.FILTER($A$2:$D$391,($A$2:$A$391&lt;&gt;"")*(TRIM($D$2:$D$391)&lt;&gt;"")),_xlpm.uniquePairs,_xlfn.UNIQUE(_xlfn.HSTACK(INDEX(_xlpm.pairs,,1),INDEX(_xlpm.pairs,,4))),_xlpm.sortedPairs,_xlfn._xlws.SORT(_xlpm.uniquePairs,1,1),IF(ROW()-1&lt;=ROWS(_xlpm.sortedPairs),INDEX(_xlpm.sortedPairs,ROW()-1,2),"")),"")</f>
        <v/>
      </c>
      <c r="N157" s="15">
        <f t="array" ref="N157">IF(OR(L157="",M157=""),"",IFERROR(INDEX($E$2:$E$391,MATCH(1,($A$2:$A$391=L157)*($D$2:$D$391=M157),0)),""))</f>
        <v/>
      </c>
      <c r="O157" s="69">
        <f>IF(OR(L157="",M157=""),"",SUMIFS($J$2:$J$391,$A$2:$A$391,L157,$D$2:$D$391,M157))</f>
        <v/>
      </c>
      <c r="P157" s="6" t="n"/>
    </row>
    <row r="158">
      <c r="A158" s="44" t="inlineStr">
        <is>
          <t>TIPA 306W</t>
        </is>
      </c>
      <c r="B158" s="44" t="inlineStr">
        <is>
          <t>Ext. A (Out - Chillroll)</t>
        </is>
      </c>
      <c r="C158" s="43" t="n"/>
      <c r="D158" s="43">
        <f>IF(C158="","",IFERROR(_xlfn.XLOOKUP(C158,HELPER!$A$2:$A$76,HELPER!$B$2:$B$76,""),D158))</f>
        <v/>
      </c>
      <c r="E158" s="43">
        <f>IFERROR(_xlfn.XLOOKUP(D158,HELPER!$B:$B,HELPER!$C:$C,""),"")</f>
        <v/>
      </c>
      <c r="F158" s="42">
        <f>IFERROR(_xlfn.XLOOKUP(D158,HELPER!$B:$B,HELPER!$D:$D,""),"")</f>
        <v/>
      </c>
      <c r="G158" s="42" t="n">
        <v>8</v>
      </c>
      <c r="H158" s="556" t="n"/>
      <c r="I158" s="72">
        <f>IF(AND(H158&lt;&gt;"",IFERROR(_xlfn.XLOOKUP(D158,HELPER!$B:$B,HELPER!$E:$E,""),"")=""),"Missing price",IFERROR(_xlfn.XLOOKUP(D158,HELPER!$B:$B,HELPER!$E:$E,"")," "))</f>
        <v/>
      </c>
      <c r="J158" s="72">
        <f>IFERROR(H158*(IF(G158=8,I158*HELPER!$G$2,BOM!I158*HELPER!$G$3))," ")</f>
        <v/>
      </c>
      <c r="K158" s="6" t="n"/>
      <c r="L158" s="14">
        <f t="array" ref="L158">IFERROR(_xlfn.LET(_xlpm.pairs,_xlfn._xlws.FILTER($A$2:$D$391,($A$2:$A$391&lt;&gt;"")*(TRIM($D$2:$D$391)&lt;&gt;"")),_xlpm.uniquePairs,_xlfn.UNIQUE(_xlfn.HSTACK(INDEX(_xlpm.pairs,,1),INDEX(_xlpm.pairs,,4))),_xlpm.sortedPairs,_xlfn._xlws.SORT(_xlpm.uniquePairs,1,1),IF(ROW()-1&lt;=ROWS(_xlpm.sortedPairs),INDEX(_xlpm.sortedPairs,ROW()-1,1),"")),"")</f>
        <v/>
      </c>
      <c r="M158" s="15">
        <f t="array" ref="M158">IFERROR(_xlfn.LET(_xlpm.pairs,_xlfn._xlws.FILTER($A$2:$D$391,($A$2:$A$391&lt;&gt;"")*(TRIM($D$2:$D$391)&lt;&gt;"")),_xlpm.uniquePairs,_xlfn.UNIQUE(_xlfn.HSTACK(INDEX(_xlpm.pairs,,1),INDEX(_xlpm.pairs,,4))),_xlpm.sortedPairs,_xlfn._xlws.SORT(_xlpm.uniquePairs,1,1),IF(ROW()-1&lt;=ROWS(_xlpm.sortedPairs),INDEX(_xlpm.sortedPairs,ROW()-1,2),"")),"")</f>
        <v/>
      </c>
      <c r="N158" s="15">
        <f t="array" ref="N158">IF(OR(L158="",M158=""),"",IFERROR(INDEX($E$2:$E$391,MATCH(1,($A$2:$A$391=L158)*($D$2:$D$391=M158),0)),""))</f>
        <v/>
      </c>
      <c r="O158" s="69">
        <f>IF(OR(L158="",M158=""),"",SUMIFS($J$2:$J$391,$A$2:$A$391,L158,$D$2:$D$391,M158))</f>
        <v/>
      </c>
      <c r="P158" s="6" t="n"/>
    </row>
    <row r="159">
      <c r="A159" s="44" t="inlineStr">
        <is>
          <t>TIPA 306W</t>
        </is>
      </c>
      <c r="B159" s="44" t="inlineStr">
        <is>
          <t>Ext. A (Out - Chillroll)</t>
        </is>
      </c>
      <c r="C159" s="43" t="n"/>
      <c r="D159" s="43">
        <f>IF(C159="","",IFERROR(_xlfn.XLOOKUP(C159,HELPER!$A$2:$A$76,HELPER!$B$2:$B$76,""),D159))</f>
        <v/>
      </c>
      <c r="E159" s="43">
        <f>IFERROR(_xlfn.XLOOKUP(D159,HELPER!$B:$B,HELPER!$C:$C,""),"")</f>
        <v/>
      </c>
      <c r="F159" s="42">
        <f>IFERROR(_xlfn.XLOOKUP(D159,HELPER!$B:$B,HELPER!$D:$D,""),"")</f>
        <v/>
      </c>
      <c r="G159" s="42" t="n">
        <v>8</v>
      </c>
      <c r="H159" s="556" t="n"/>
      <c r="I159" s="72">
        <f>IF(AND(H159&lt;&gt;"",IFERROR(_xlfn.XLOOKUP(D159,HELPER!$B:$B,HELPER!$E:$E,""),"")=""),"Missing price",IFERROR(_xlfn.XLOOKUP(D159,HELPER!$B:$B,HELPER!$E:$E,"")," "))</f>
        <v/>
      </c>
      <c r="J159" s="72">
        <f>IFERROR(H159*(IF(G159=8,I159*HELPER!$G$2,BOM!I159*HELPER!$G$3))," ")</f>
        <v/>
      </c>
      <c r="K159" s="6" t="n"/>
      <c r="L159" s="14">
        <f t="array" ref="L159">IFERROR(_xlfn.LET(_xlpm.pairs,_xlfn._xlws.FILTER($A$2:$D$391,($A$2:$A$391&lt;&gt;"")*(TRIM($D$2:$D$391)&lt;&gt;"")),_xlpm.uniquePairs,_xlfn.UNIQUE(_xlfn.HSTACK(INDEX(_xlpm.pairs,,1),INDEX(_xlpm.pairs,,4))),_xlpm.sortedPairs,_xlfn._xlws.SORT(_xlpm.uniquePairs,1,1),IF(ROW()-1&lt;=ROWS(_xlpm.sortedPairs),INDEX(_xlpm.sortedPairs,ROW()-1,1),"")),"")</f>
        <v/>
      </c>
      <c r="M159" s="15">
        <f t="array" ref="M159">IFERROR(_xlfn.LET(_xlpm.pairs,_xlfn._xlws.FILTER($A$2:$D$391,($A$2:$A$391&lt;&gt;"")*(TRIM($D$2:$D$391)&lt;&gt;"")),_xlpm.uniquePairs,_xlfn.UNIQUE(_xlfn.HSTACK(INDEX(_xlpm.pairs,,1),INDEX(_xlpm.pairs,,4))),_xlpm.sortedPairs,_xlfn._xlws.SORT(_xlpm.uniquePairs,1,1),IF(ROW()-1&lt;=ROWS(_xlpm.sortedPairs),INDEX(_xlpm.sortedPairs,ROW()-1,2),"")),"")</f>
        <v/>
      </c>
      <c r="N159" s="15">
        <f t="array" ref="N159">IF(OR(L159="",M159=""),"",IFERROR(INDEX($E$2:$E$391,MATCH(1,($A$2:$A$391=L159)*($D$2:$D$391=M159),0)),""))</f>
        <v/>
      </c>
      <c r="O159" s="69">
        <f>IF(OR(L159="",M159=""),"",SUMIFS($J$2:$J$391,$A$2:$A$391,L159,$D$2:$D$391,M159))</f>
        <v/>
      </c>
      <c r="P159" s="6" t="n"/>
    </row>
    <row r="160">
      <c r="A160" s="44" t="inlineStr">
        <is>
          <t>TIPA 306W</t>
        </is>
      </c>
      <c r="B160" s="44" t="inlineStr">
        <is>
          <t>Ext. A (Out - Chillroll)</t>
        </is>
      </c>
      <c r="C160" s="43" t="n"/>
      <c r="D160" s="43">
        <f>IF(C160="","",IFERROR(_xlfn.XLOOKUP(C160,HELPER!$A$2:$A$76,HELPER!$B$2:$B$76,""),D160))</f>
        <v/>
      </c>
      <c r="E160" s="43">
        <f>IFERROR(_xlfn.XLOOKUP(D160,HELPER!$B:$B,HELPER!$C:$C,""),"")</f>
        <v/>
      </c>
      <c r="F160" s="42">
        <f>IFERROR(_xlfn.XLOOKUP(D160,HELPER!$B:$B,HELPER!$D:$D,""),"")</f>
        <v/>
      </c>
      <c r="G160" s="42" t="n">
        <v>8</v>
      </c>
      <c r="H160" s="556" t="n"/>
      <c r="I160" s="72">
        <f>IF(AND(H160&lt;&gt;"",IFERROR(_xlfn.XLOOKUP(D160,HELPER!$B:$B,HELPER!$E:$E,""),"")=""),"Missing price",IFERROR(_xlfn.XLOOKUP(D160,HELPER!$B:$B,HELPER!$E:$E,"")," "))</f>
        <v/>
      </c>
      <c r="J160" s="72">
        <f>IFERROR(H160*(IF(G160=8,I160*HELPER!$G$2,BOM!I160*HELPER!$G$3))," ")</f>
        <v/>
      </c>
      <c r="K160" s="6" t="n"/>
      <c r="L160" s="14">
        <f t="array" ref="L160">IFERROR(_xlfn.LET(_xlpm.pairs,_xlfn._xlws.FILTER($A$2:$D$391,($A$2:$A$391&lt;&gt;"")*(TRIM($D$2:$D$391)&lt;&gt;"")),_xlpm.uniquePairs,_xlfn.UNIQUE(_xlfn.HSTACK(INDEX(_xlpm.pairs,,1),INDEX(_xlpm.pairs,,4))),_xlpm.sortedPairs,_xlfn._xlws.SORT(_xlpm.uniquePairs,1,1),IF(ROW()-1&lt;=ROWS(_xlpm.sortedPairs),INDEX(_xlpm.sortedPairs,ROW()-1,1),"")),"")</f>
        <v/>
      </c>
      <c r="M160" s="15">
        <f t="array" ref="M160">IFERROR(_xlfn.LET(_xlpm.pairs,_xlfn._xlws.FILTER($A$2:$D$391,($A$2:$A$391&lt;&gt;"")*(TRIM($D$2:$D$391)&lt;&gt;"")),_xlpm.uniquePairs,_xlfn.UNIQUE(_xlfn.HSTACK(INDEX(_xlpm.pairs,,1),INDEX(_xlpm.pairs,,4))),_xlpm.sortedPairs,_xlfn._xlws.SORT(_xlpm.uniquePairs,1,1),IF(ROW()-1&lt;=ROWS(_xlpm.sortedPairs),INDEX(_xlpm.sortedPairs,ROW()-1,2),"")),"")</f>
        <v/>
      </c>
      <c r="N160" s="15">
        <f t="array" ref="N160">IF(OR(L160="",M160=""),"",IFERROR(INDEX($E$2:$E$391,MATCH(1,($A$2:$A$391=L160)*($D$2:$D$391=M160),0)),""))</f>
        <v/>
      </c>
      <c r="O160" s="69">
        <f>IF(OR(L160="",M160=""),"",SUMIFS($J$2:$J$391,$A$2:$A$391,L160,$D$2:$D$391,M160))</f>
        <v/>
      </c>
      <c r="P160" s="6" t="n"/>
    </row>
    <row r="161">
      <c r="A161" s="44" t="inlineStr">
        <is>
          <t>TIPA 306W</t>
        </is>
      </c>
      <c r="B161" s="44" t="inlineStr">
        <is>
          <t>Ext. A (Out - Chillroll)</t>
        </is>
      </c>
      <c r="C161" s="43" t="n"/>
      <c r="D161" s="43">
        <f>IF(C161="","",IFERROR(_xlfn.XLOOKUP(C161,HELPER!$A$2:$A$76,HELPER!$B$2:$B$76,""),D161))</f>
        <v/>
      </c>
      <c r="E161" s="43">
        <f>IFERROR(_xlfn.XLOOKUP(D161,HELPER!$B:$B,HELPER!$C:$C,""),"")</f>
        <v/>
      </c>
      <c r="F161" s="42">
        <f>IFERROR(_xlfn.XLOOKUP(D161,HELPER!$B:$B,HELPER!$D:$D,""),"")</f>
        <v/>
      </c>
      <c r="G161" s="42" t="n">
        <v>8</v>
      </c>
      <c r="H161" s="556" t="n"/>
      <c r="I161" s="72">
        <f>IF(AND(H161&lt;&gt;"",IFERROR(_xlfn.XLOOKUP(D161,HELPER!$B:$B,HELPER!$E:$E,""),"")=""),"Missing price",IFERROR(_xlfn.XLOOKUP(D161,HELPER!$B:$B,HELPER!$E:$E,"")," "))</f>
        <v/>
      </c>
      <c r="J161" s="72">
        <f>IFERROR(H161*(IF(G161=8,I161*HELPER!$G$2,BOM!I161*HELPER!$G$3))," ")</f>
        <v/>
      </c>
      <c r="K161" s="6" t="n"/>
      <c r="L161" s="14">
        <f t="array" ref="L161">IFERROR(_xlfn.LET(_xlpm.pairs,_xlfn._xlws.FILTER($A$2:$D$391,($A$2:$A$391&lt;&gt;"")*(TRIM($D$2:$D$391)&lt;&gt;"")),_xlpm.uniquePairs,_xlfn.UNIQUE(_xlfn.HSTACK(INDEX(_xlpm.pairs,,1),INDEX(_xlpm.pairs,,4))),_xlpm.sortedPairs,_xlfn._xlws.SORT(_xlpm.uniquePairs,1,1),IF(ROW()-1&lt;=ROWS(_xlpm.sortedPairs),INDEX(_xlpm.sortedPairs,ROW()-1,1),"")),"")</f>
        <v/>
      </c>
      <c r="M161" s="15">
        <f t="array" ref="M161">IFERROR(_xlfn.LET(_xlpm.pairs,_xlfn._xlws.FILTER($A$2:$D$391,($A$2:$A$391&lt;&gt;"")*(TRIM($D$2:$D$391)&lt;&gt;"")),_xlpm.uniquePairs,_xlfn.UNIQUE(_xlfn.HSTACK(INDEX(_xlpm.pairs,,1),INDEX(_xlpm.pairs,,4))),_xlpm.sortedPairs,_xlfn._xlws.SORT(_xlpm.uniquePairs,1,1),IF(ROW()-1&lt;=ROWS(_xlpm.sortedPairs),INDEX(_xlpm.sortedPairs,ROW()-1,2),"")),"")</f>
        <v/>
      </c>
      <c r="N161" s="15">
        <f t="array" ref="N161">IF(OR(L161="",M161=""),"",IFERROR(INDEX($E$2:$E$391,MATCH(1,($A$2:$A$391=L161)*($D$2:$D$391=M161),0)),""))</f>
        <v/>
      </c>
      <c r="O161" s="69">
        <f>IF(OR(L161="",M161=""),"",SUMIFS($J$2:$J$391,$A$2:$A$391,L161,$D$2:$D$391,M161))</f>
        <v/>
      </c>
      <c r="P161" s="6" t="n"/>
    </row>
    <row r="162">
      <c r="A162" s="44" t="inlineStr">
        <is>
          <t>TIPA 306W</t>
        </is>
      </c>
      <c r="B162" s="44" t="inlineStr">
        <is>
          <t xml:space="preserve">Ext. B </t>
        </is>
      </c>
      <c r="C162" s="43" t="n"/>
      <c r="D162" s="43">
        <f>IF(C162="","",IFERROR(_xlfn.XLOOKUP(C162,HELPER!$A$2:$A$76,HELPER!$B$2:$B$76,""),D162))</f>
        <v/>
      </c>
      <c r="E162" s="43">
        <f>IFERROR(_xlfn.XLOOKUP(D162,HELPER!$B:$B,HELPER!$C:$C,""),"")</f>
        <v/>
      </c>
      <c r="F162" s="42">
        <f>IFERROR(_xlfn.XLOOKUP(D162,HELPER!$B:$B,HELPER!$D:$D,""),"")</f>
        <v/>
      </c>
      <c r="G162" s="42" t="n">
        <v>24</v>
      </c>
      <c r="H162" s="556" t="n"/>
      <c r="I162" s="72">
        <f>IF(AND(H162&lt;&gt;"",IFERROR(_xlfn.XLOOKUP(D162,HELPER!$B:$B,HELPER!$E:$E,""),"")=""),"Missing price",IFERROR(_xlfn.XLOOKUP(D162,HELPER!$B:$B,HELPER!$E:$E,"")," "))</f>
        <v/>
      </c>
      <c r="J162" s="72">
        <f>IFERROR(H162*(IF(G162=8,I162*HELPER!$G$2,BOM!I162*HELPER!$G$3))," ")</f>
        <v/>
      </c>
      <c r="K162" s="6" t="n"/>
      <c r="L162" s="14">
        <f t="array" ref="L162">IFERROR(_xlfn.LET(_xlpm.pairs,_xlfn._xlws.FILTER($A$2:$D$391,($A$2:$A$391&lt;&gt;"")*(TRIM($D$2:$D$391)&lt;&gt;"")),_xlpm.uniquePairs,_xlfn.UNIQUE(_xlfn.HSTACK(INDEX(_xlpm.pairs,,1),INDEX(_xlpm.pairs,,4))),_xlpm.sortedPairs,_xlfn._xlws.SORT(_xlpm.uniquePairs,1,1),IF(ROW()-1&lt;=ROWS(_xlpm.sortedPairs),INDEX(_xlpm.sortedPairs,ROW()-1,1),"")),"")</f>
        <v/>
      </c>
      <c r="M162" s="15">
        <f t="array" ref="M162">IFERROR(_xlfn.LET(_xlpm.pairs,_xlfn._xlws.FILTER($A$2:$D$391,($A$2:$A$391&lt;&gt;"")*(TRIM($D$2:$D$391)&lt;&gt;"")),_xlpm.uniquePairs,_xlfn.UNIQUE(_xlfn.HSTACK(INDEX(_xlpm.pairs,,1),INDEX(_xlpm.pairs,,4))),_xlpm.sortedPairs,_xlfn._xlws.SORT(_xlpm.uniquePairs,1,1),IF(ROW()-1&lt;=ROWS(_xlpm.sortedPairs),INDEX(_xlpm.sortedPairs,ROW()-1,2),"")),"")</f>
        <v/>
      </c>
      <c r="N162" s="15">
        <f t="array" ref="N162">IF(OR(L162="",M162=""),"",IFERROR(INDEX($E$2:$E$391,MATCH(1,($A$2:$A$391=L162)*($D$2:$D$391=M162),0)),""))</f>
        <v/>
      </c>
      <c r="O162" s="69">
        <f>IF(OR(L162="",M162=""),"",SUMIFS($J$2:$J$391,$A$2:$A$391,L162,$D$2:$D$391,M162))</f>
        <v/>
      </c>
      <c r="P162" s="6" t="n"/>
    </row>
    <row r="163">
      <c r="A163" s="44" t="inlineStr">
        <is>
          <t>TIPA 306W</t>
        </is>
      </c>
      <c r="B163" s="44" t="inlineStr">
        <is>
          <t xml:space="preserve">Ext. B </t>
        </is>
      </c>
      <c r="C163" s="43" t="inlineStr">
        <is>
          <t>AB-PLA</t>
        </is>
      </c>
      <c r="D163" s="43">
        <f>IF(C163="","",IFERROR(_xlfn.XLOOKUP(C163,HELPER!$A$2:$A$76,HELPER!$B$2:$B$76,""),D163))</f>
        <v/>
      </c>
      <c r="E163" s="43">
        <f>IFERROR(_xlfn.XLOOKUP(D163,HELPER!$B:$B,HELPER!$C:$C,""),"")</f>
        <v/>
      </c>
      <c r="F163" s="42">
        <f>IFERROR(_xlfn.XLOOKUP(D163,HELPER!$B:$B,HELPER!$D:$D,""),"")</f>
        <v/>
      </c>
      <c r="G163" s="42" t="n">
        <v>24</v>
      </c>
      <c r="H163" s="556" t="n"/>
      <c r="I163" s="72">
        <f>IF(AND(H163&lt;&gt;"",IFERROR(_xlfn.XLOOKUP(D163,HELPER!$B:$B,HELPER!$E:$E,""),"")=""),"Missing price",IFERROR(_xlfn.XLOOKUP(D163,HELPER!$B:$B,HELPER!$E:$E,"")," "))</f>
        <v/>
      </c>
      <c r="J163" s="72">
        <f>IFERROR(H163*(IF(G163=8,I163*HELPER!$G$2,BOM!I163*HELPER!$G$3))," ")</f>
        <v/>
      </c>
      <c r="K163" s="6" t="n"/>
      <c r="L163" s="14">
        <f t="array" ref="L163">IFERROR(_xlfn.LET(_xlpm.pairs,_xlfn._xlws.FILTER($A$2:$D$391,($A$2:$A$391&lt;&gt;"")*(TRIM($D$2:$D$391)&lt;&gt;"")),_xlpm.uniquePairs,_xlfn.UNIQUE(_xlfn.HSTACK(INDEX(_xlpm.pairs,,1),INDEX(_xlpm.pairs,,4))),_xlpm.sortedPairs,_xlfn._xlws.SORT(_xlpm.uniquePairs,1,1),IF(ROW()-1&lt;=ROWS(_xlpm.sortedPairs),INDEX(_xlpm.sortedPairs,ROW()-1,1),"")),"")</f>
        <v/>
      </c>
      <c r="M163" s="15">
        <f t="array" ref="M163">IFERROR(_xlfn.LET(_xlpm.pairs,_xlfn._xlws.FILTER($A$2:$D$391,($A$2:$A$391&lt;&gt;"")*(TRIM($D$2:$D$391)&lt;&gt;"")),_xlpm.uniquePairs,_xlfn.UNIQUE(_xlfn.HSTACK(INDEX(_xlpm.pairs,,1),INDEX(_xlpm.pairs,,4))),_xlpm.sortedPairs,_xlfn._xlws.SORT(_xlpm.uniquePairs,1,1),IF(ROW()-1&lt;=ROWS(_xlpm.sortedPairs),INDEX(_xlpm.sortedPairs,ROW()-1,2),"")),"")</f>
        <v/>
      </c>
      <c r="N163" s="15">
        <f t="array" ref="N163">IF(OR(L163="",M163=""),"",IFERROR(INDEX($E$2:$E$391,MATCH(1,($A$2:$A$391=L163)*($D$2:$D$391=M163),0)),""))</f>
        <v/>
      </c>
      <c r="O163" s="69">
        <f>IF(OR(L163="",M163=""),"",SUMIFS($J$2:$J$391,$A$2:$A$391,L163,$D$2:$D$391,M163))</f>
        <v/>
      </c>
      <c r="P163" s="6" t="n"/>
    </row>
    <row r="164">
      <c r="A164" s="44" t="inlineStr">
        <is>
          <t>TIPA 306W</t>
        </is>
      </c>
      <c r="B164" s="44" t="inlineStr">
        <is>
          <t xml:space="preserve">Ext. B </t>
        </is>
      </c>
      <c r="C164" s="43" t="inlineStr">
        <is>
          <t>PLA</t>
        </is>
      </c>
      <c r="D164" s="43">
        <f>IF(C164="","",IFERROR(_xlfn.XLOOKUP(C164,HELPER!$A$2:$A$76,HELPER!$B$2:$B$76,""),D164))</f>
        <v/>
      </c>
      <c r="E164" s="43">
        <f>IFERROR(_xlfn.XLOOKUP(D164,HELPER!$B:$B,HELPER!$C:$C,""),"")</f>
        <v/>
      </c>
      <c r="F164" s="42">
        <f>IFERROR(_xlfn.XLOOKUP(D164,HELPER!$B:$B,HELPER!$D:$D,""),"")</f>
        <v/>
      </c>
      <c r="G164" s="42" t="n">
        <v>24</v>
      </c>
      <c r="H164" s="556" t="n">
        <v>0.715</v>
      </c>
      <c r="I164" s="72">
        <f>IF(AND(H164&lt;&gt;"",IFERROR(_xlfn.XLOOKUP(D164,HELPER!$B:$B,HELPER!$E:$E,""),"")=""),"Missing price",IFERROR(_xlfn.XLOOKUP(D164,HELPER!$B:$B,HELPER!$E:$E,"")," "))</f>
        <v/>
      </c>
      <c r="J164" s="72">
        <f>IFERROR(H164*(IF(G164=8,I164*HELPER!$G$2,BOM!I164*HELPER!$G$3))," ")</f>
        <v/>
      </c>
      <c r="K164" s="6" t="n"/>
      <c r="L164" s="14">
        <f t="array" ref="L164">IFERROR(_xlfn.LET(_xlpm.pairs,_xlfn._xlws.FILTER($A$2:$D$391,($A$2:$A$391&lt;&gt;"")*(TRIM($D$2:$D$391)&lt;&gt;"")),_xlpm.uniquePairs,_xlfn.UNIQUE(_xlfn.HSTACK(INDEX(_xlpm.pairs,,1),INDEX(_xlpm.pairs,,4))),_xlpm.sortedPairs,_xlfn._xlws.SORT(_xlpm.uniquePairs,1,1),IF(ROW()-1&lt;=ROWS(_xlpm.sortedPairs),INDEX(_xlpm.sortedPairs,ROW()-1,1),"")),"")</f>
        <v/>
      </c>
      <c r="M164" s="15">
        <f t="array" ref="M164">IFERROR(_xlfn.LET(_xlpm.pairs,_xlfn._xlws.FILTER($A$2:$D$391,($A$2:$A$391&lt;&gt;"")*(TRIM($D$2:$D$391)&lt;&gt;"")),_xlpm.uniquePairs,_xlfn.UNIQUE(_xlfn.HSTACK(INDEX(_xlpm.pairs,,1),INDEX(_xlpm.pairs,,4))),_xlpm.sortedPairs,_xlfn._xlws.SORT(_xlpm.uniquePairs,1,1),IF(ROW()-1&lt;=ROWS(_xlpm.sortedPairs),INDEX(_xlpm.sortedPairs,ROW()-1,2),"")),"")</f>
        <v/>
      </c>
      <c r="N164" s="15">
        <f t="array" ref="N164">IF(OR(L164="",M164=""),"",IFERROR(INDEX($E$2:$E$391,MATCH(1,($A$2:$A$391=L164)*($D$2:$D$391=M164),0)),""))</f>
        <v/>
      </c>
      <c r="O164" s="69">
        <f>IF(OR(L164="",M164=""),"",SUMIFS($J$2:$J$391,$A$2:$A$391,L164,$D$2:$D$391,M164))</f>
        <v/>
      </c>
      <c r="P164" s="6" t="n"/>
    </row>
    <row r="165">
      <c r="A165" s="44" t="inlineStr">
        <is>
          <t>TIPA 306W</t>
        </is>
      </c>
      <c r="B165" s="44" t="inlineStr">
        <is>
          <t xml:space="preserve">Ext. B </t>
        </is>
      </c>
      <c r="C165" s="43" t="inlineStr">
        <is>
          <t>PCL</t>
        </is>
      </c>
      <c r="D165" s="43">
        <f>IF(C165="","",IFERROR(_xlfn.XLOOKUP(C165,HELPER!$A$2:$A$76,HELPER!$B$2:$B$76,""),D165))</f>
        <v/>
      </c>
      <c r="E165" s="43">
        <f>IFERROR(_xlfn.XLOOKUP(D165,HELPER!$B:$B,HELPER!$C:$C,""),"")</f>
        <v/>
      </c>
      <c r="F165" s="42">
        <f>IFERROR(_xlfn.XLOOKUP(D165,HELPER!$B:$B,HELPER!$D:$D,""),"")</f>
        <v/>
      </c>
      <c r="G165" s="42" t="n">
        <v>24</v>
      </c>
      <c r="H165" s="556" t="n">
        <v>0.17</v>
      </c>
      <c r="I165" s="72">
        <f>IF(AND(H165&lt;&gt;"",IFERROR(_xlfn.XLOOKUP(D165,HELPER!$B:$B,HELPER!$E:$E,""),"")=""),"Missing price",IFERROR(_xlfn.XLOOKUP(D165,HELPER!$B:$B,HELPER!$E:$E,"")," "))</f>
        <v/>
      </c>
      <c r="J165" s="72">
        <f>IFERROR(H165*(IF(G165=8,I165*HELPER!$G$2,BOM!I165*HELPER!$G$3))," ")</f>
        <v/>
      </c>
      <c r="K165" s="6" t="n"/>
      <c r="L165" s="14">
        <f t="array" ref="L165">IFERROR(_xlfn.LET(_xlpm.pairs,_xlfn._xlws.FILTER($A$2:$D$391,($A$2:$A$391&lt;&gt;"")*(TRIM($D$2:$D$391)&lt;&gt;"")),_xlpm.uniquePairs,_xlfn.UNIQUE(_xlfn.HSTACK(INDEX(_xlpm.pairs,,1),INDEX(_xlpm.pairs,,4))),_xlpm.sortedPairs,_xlfn._xlws.SORT(_xlpm.uniquePairs,1,1),IF(ROW()-1&lt;=ROWS(_xlpm.sortedPairs),INDEX(_xlpm.sortedPairs,ROW()-1,1),"")),"")</f>
        <v/>
      </c>
      <c r="M165" s="15">
        <f t="array" ref="M165">IFERROR(_xlfn.LET(_xlpm.pairs,_xlfn._xlws.FILTER($A$2:$D$391,($A$2:$A$391&lt;&gt;"")*(TRIM($D$2:$D$391)&lt;&gt;"")),_xlpm.uniquePairs,_xlfn.UNIQUE(_xlfn.HSTACK(INDEX(_xlpm.pairs,,1),INDEX(_xlpm.pairs,,4))),_xlpm.sortedPairs,_xlfn._xlws.SORT(_xlpm.uniquePairs,1,1),IF(ROW()-1&lt;=ROWS(_xlpm.sortedPairs),INDEX(_xlpm.sortedPairs,ROW()-1,2),"")),"")</f>
        <v/>
      </c>
      <c r="N165" s="15">
        <f t="array" ref="N165">IF(OR(L165="",M165=""),"",IFERROR(INDEX($E$2:$E$391,MATCH(1,($A$2:$A$391=L165)*($D$2:$D$391=M165),0)),""))</f>
        <v/>
      </c>
      <c r="O165" s="69">
        <f>IF(OR(L165="",M165=""),"",SUMIFS($J$2:$J$391,$A$2:$A$391,L165,$D$2:$D$391,M165))</f>
        <v/>
      </c>
      <c r="P165" s="6" t="n"/>
    </row>
    <row r="166">
      <c r="A166" s="44" t="inlineStr">
        <is>
          <t>TIPA 306W</t>
        </is>
      </c>
      <c r="B166" s="44" t="inlineStr">
        <is>
          <t xml:space="preserve">Ext. B </t>
        </is>
      </c>
      <c r="C166" s="43" t="inlineStr">
        <is>
          <t>AO-PBS</t>
        </is>
      </c>
      <c r="D166" s="43">
        <f>IF(C166="","",IFERROR(_xlfn.XLOOKUP(C166,HELPER!$A$2:$A$76,HELPER!$B$2:$B$76,""),D166))</f>
        <v/>
      </c>
      <c r="E166" s="43">
        <f>IFERROR(_xlfn.XLOOKUP(D166,HELPER!$B:$B,HELPER!$C:$C,""),"")</f>
        <v/>
      </c>
      <c r="F166" s="42">
        <f>IFERROR(_xlfn.XLOOKUP(D166,HELPER!$B:$B,HELPER!$D:$D,""),"")</f>
        <v/>
      </c>
      <c r="G166" s="42" t="n">
        <v>24</v>
      </c>
      <c r="H166" s="556" t="n">
        <v>0.015</v>
      </c>
      <c r="I166" s="72">
        <f>IF(AND(H166&lt;&gt;"",IFERROR(_xlfn.XLOOKUP(D166,HELPER!$B:$B,HELPER!$E:$E,""),"")=""),"Missing price",IFERROR(_xlfn.XLOOKUP(D166,HELPER!$B:$B,HELPER!$E:$E,"")," "))</f>
        <v/>
      </c>
      <c r="J166" s="72">
        <f>IFERROR(H166*(IF(G166=8,I166*HELPER!$G$2,BOM!I166*HELPER!$G$3))," ")</f>
        <v/>
      </c>
      <c r="K166" s="6" t="n"/>
      <c r="L166" s="14">
        <f t="array" ref="L166">IFERROR(_xlfn.LET(_xlpm.pairs,_xlfn._xlws.FILTER($A$2:$D$391,($A$2:$A$391&lt;&gt;"")*(TRIM($D$2:$D$391)&lt;&gt;"")),_xlpm.uniquePairs,_xlfn.UNIQUE(_xlfn.HSTACK(INDEX(_xlpm.pairs,,1),INDEX(_xlpm.pairs,,4))),_xlpm.sortedPairs,_xlfn._xlws.SORT(_xlpm.uniquePairs,1,1),IF(ROW()-1&lt;=ROWS(_xlpm.sortedPairs),INDEX(_xlpm.sortedPairs,ROW()-1,1),"")),"")</f>
        <v/>
      </c>
      <c r="M166" s="15">
        <f t="array" ref="M166">IFERROR(_xlfn.LET(_xlpm.pairs,_xlfn._xlws.FILTER($A$2:$D$391,($A$2:$A$391&lt;&gt;"")*(TRIM($D$2:$D$391)&lt;&gt;"")),_xlpm.uniquePairs,_xlfn.UNIQUE(_xlfn.HSTACK(INDEX(_xlpm.pairs,,1),INDEX(_xlpm.pairs,,4))),_xlpm.sortedPairs,_xlfn._xlws.SORT(_xlpm.uniquePairs,1,1),IF(ROW()-1&lt;=ROWS(_xlpm.sortedPairs),INDEX(_xlpm.sortedPairs,ROW()-1,2),"")),"")</f>
        <v/>
      </c>
      <c r="N166" s="15">
        <f t="array" ref="N166">IF(OR(L166="",M166=""),"",IFERROR(INDEX($E$2:$E$391,MATCH(1,($A$2:$A$391=L166)*($D$2:$D$391=M166),0)),""))</f>
        <v/>
      </c>
      <c r="O166" s="69">
        <f>IF(OR(L166="",M166=""),"",SUMIFS($J$2:$J$391,$A$2:$A$391,L166,$D$2:$D$391,M166))</f>
        <v/>
      </c>
      <c r="P166" s="6" t="n"/>
    </row>
    <row r="167">
      <c r="A167" s="44" t="inlineStr">
        <is>
          <t>TIPA 306W</t>
        </is>
      </c>
      <c r="B167" s="44" t="inlineStr">
        <is>
          <t xml:space="preserve">Ext. B </t>
        </is>
      </c>
      <c r="C167" s="43" t="inlineStr">
        <is>
          <t>ECOMP WHITE</t>
        </is>
      </c>
      <c r="D167" s="43">
        <f>IF(C167="","",IFERROR(_xlfn.XLOOKUP(C167,HELPER!$A$2:$A$76,HELPER!$B$2:$B$76,""),D167))</f>
        <v/>
      </c>
      <c r="E167" s="43">
        <f>IFERROR(_xlfn.XLOOKUP(D167,HELPER!$B:$B,HELPER!$C:$C,""),"")</f>
        <v/>
      </c>
      <c r="F167" s="42">
        <f>IFERROR(_xlfn.XLOOKUP(D167,HELPER!$B:$B,HELPER!$D:$D,""),"")</f>
        <v/>
      </c>
      <c r="G167" s="42" t="n">
        <v>24</v>
      </c>
      <c r="H167" s="556" t="n">
        <v>0.1</v>
      </c>
      <c r="I167" s="72">
        <f>IF(AND(H167&lt;&gt;"",IFERROR(_xlfn.XLOOKUP(D167,HELPER!$B:$B,HELPER!$E:$E,""),"")=""),"Missing price",IFERROR(_xlfn.XLOOKUP(D167,HELPER!$B:$B,HELPER!$E:$E,"")," "))</f>
        <v/>
      </c>
      <c r="J167" s="72">
        <f>IFERROR(H167*(IF(G167=8,I167*HELPER!$G$2,BOM!I167*HELPER!$G$3))," ")</f>
        <v/>
      </c>
      <c r="K167" s="6" t="n"/>
      <c r="L167" s="14">
        <f t="array" ref="L167">IFERROR(_xlfn.LET(_xlpm.pairs,_xlfn._xlws.FILTER($A$2:$D$391,($A$2:$A$391&lt;&gt;"")*(TRIM($D$2:$D$391)&lt;&gt;"")),_xlpm.uniquePairs,_xlfn.UNIQUE(_xlfn.HSTACK(INDEX(_xlpm.pairs,,1),INDEX(_xlpm.pairs,,4))),_xlpm.sortedPairs,_xlfn._xlws.SORT(_xlpm.uniquePairs,1,1),IF(ROW()-1&lt;=ROWS(_xlpm.sortedPairs),INDEX(_xlpm.sortedPairs,ROW()-1,1),"")),"")</f>
        <v/>
      </c>
      <c r="M167" s="15">
        <f t="array" ref="M167">IFERROR(_xlfn.LET(_xlpm.pairs,_xlfn._xlws.FILTER($A$2:$D$391,($A$2:$A$391&lt;&gt;"")*(TRIM($D$2:$D$391)&lt;&gt;"")),_xlpm.uniquePairs,_xlfn.UNIQUE(_xlfn.HSTACK(INDEX(_xlpm.pairs,,1),INDEX(_xlpm.pairs,,4))),_xlpm.sortedPairs,_xlfn._xlws.SORT(_xlpm.uniquePairs,1,1),IF(ROW()-1&lt;=ROWS(_xlpm.sortedPairs),INDEX(_xlpm.sortedPairs,ROW()-1,2),"")),"")</f>
        <v/>
      </c>
      <c r="N167" s="15">
        <f t="array" ref="N167">IF(OR(L167="",M167=""),"",IFERROR(INDEX($E$2:$E$391,MATCH(1,($A$2:$A$391=L167)*($D$2:$D$391=M167),0)),""))</f>
        <v/>
      </c>
      <c r="O167" s="69">
        <f>IF(OR(L167="",M167=""),"",SUMIFS($J$2:$J$391,$A$2:$A$391,L167,$D$2:$D$391,M167))</f>
        <v/>
      </c>
      <c r="P167" s="6" t="n"/>
    </row>
    <row r="168">
      <c r="A168" s="44" t="inlineStr">
        <is>
          <t>TIPA 306W</t>
        </is>
      </c>
      <c r="B168" s="44" t="inlineStr">
        <is>
          <t xml:space="preserve">Ext. B </t>
        </is>
      </c>
      <c r="C168" s="43" t="inlineStr">
        <is>
          <t>SLAB-PBSA</t>
        </is>
      </c>
      <c r="D168" s="43">
        <f>IF(C168="","",IFERROR(_xlfn.XLOOKUP(C168,HELPER!$A$2:$A$76,HELPER!$B$2:$B$76,""),D168))</f>
        <v/>
      </c>
      <c r="E168" s="43">
        <f>IFERROR(_xlfn.XLOOKUP(D168,HELPER!$B:$B,HELPER!$C:$C,""),"")</f>
        <v/>
      </c>
      <c r="F168" s="42">
        <f>IFERROR(_xlfn.XLOOKUP(D168,HELPER!$B:$B,HELPER!$D:$D,""),"")</f>
        <v/>
      </c>
      <c r="G168" s="42" t="n">
        <v>24</v>
      </c>
      <c r="H168" s="556" t="n"/>
      <c r="I168" s="72">
        <f>IF(AND(H168&lt;&gt;"",IFERROR(_xlfn.XLOOKUP(D168,HELPER!$B:$B,HELPER!$E:$E,""),"")=""),"Missing price",IFERROR(_xlfn.XLOOKUP(D168,HELPER!$B:$B,HELPER!$E:$E,"")," "))</f>
        <v/>
      </c>
      <c r="J168" s="72">
        <f>IFERROR(H168*(IF(G168=8,I168*HELPER!$G$2,BOM!I168*HELPER!$G$3))," ")</f>
        <v/>
      </c>
      <c r="K168" s="6" t="n"/>
      <c r="L168" s="14">
        <f t="array" ref="L168">IFERROR(_xlfn.LET(_xlpm.pairs,_xlfn._xlws.FILTER($A$2:$D$391,($A$2:$A$391&lt;&gt;"")*(TRIM($D$2:$D$391)&lt;&gt;"")),_xlpm.uniquePairs,_xlfn.UNIQUE(_xlfn.HSTACK(INDEX(_xlpm.pairs,,1),INDEX(_xlpm.pairs,,4))),_xlpm.sortedPairs,_xlfn._xlws.SORT(_xlpm.uniquePairs,1,1),IF(ROW()-1&lt;=ROWS(_xlpm.sortedPairs),INDEX(_xlpm.sortedPairs,ROW()-1,1),"")),"")</f>
        <v/>
      </c>
      <c r="M168" s="15">
        <f t="array" ref="M168">IFERROR(_xlfn.LET(_xlpm.pairs,_xlfn._xlws.FILTER($A$2:$D$391,($A$2:$A$391&lt;&gt;"")*(TRIM($D$2:$D$391)&lt;&gt;"")),_xlpm.uniquePairs,_xlfn.UNIQUE(_xlfn.HSTACK(INDEX(_xlpm.pairs,,1),INDEX(_xlpm.pairs,,4))),_xlpm.sortedPairs,_xlfn._xlws.SORT(_xlpm.uniquePairs,1,1),IF(ROW()-1&lt;=ROWS(_xlpm.sortedPairs),INDEX(_xlpm.sortedPairs,ROW()-1,2),"")),"")</f>
        <v/>
      </c>
      <c r="N168" s="15">
        <f t="array" ref="N168">IF(OR(L168="",M168=""),"",IFERROR(INDEX($E$2:$E$391,MATCH(1,($A$2:$A$391=L168)*($D$2:$D$391=M168),0)),""))</f>
        <v/>
      </c>
      <c r="O168" s="69">
        <f>IF(OR(L168="",M168=""),"",SUMIFS($J$2:$J$391,$A$2:$A$391,L168,$D$2:$D$391,M168))</f>
        <v/>
      </c>
      <c r="P168" s="6" t="n"/>
    </row>
    <row r="169">
      <c r="A169" s="44" t="inlineStr">
        <is>
          <t>TIPA 306W</t>
        </is>
      </c>
      <c r="B169" s="44" t="inlineStr">
        <is>
          <t xml:space="preserve">Ext. B </t>
        </is>
      </c>
      <c r="C169" s="43" t="n"/>
      <c r="D169" s="43">
        <f>IF(C169="","",IFERROR(_xlfn.XLOOKUP(C169,HELPER!$A$2:$A$76,HELPER!$B$2:$B$76,""),D169))</f>
        <v/>
      </c>
      <c r="E169" s="43">
        <f>IFERROR(_xlfn.XLOOKUP(D169,HELPER!$B:$B,HELPER!$C:$C,""),"")</f>
        <v/>
      </c>
      <c r="F169" s="42">
        <f>IFERROR(_xlfn.XLOOKUP(D169,HELPER!$B:$B,HELPER!$D:$D,""),"")</f>
        <v/>
      </c>
      <c r="G169" s="42" t="n">
        <v>24</v>
      </c>
      <c r="H169" s="556" t="n"/>
      <c r="I169" s="72">
        <f>IF(AND(H169&lt;&gt;"",IFERROR(_xlfn.XLOOKUP(D169,HELPER!$B:$B,HELPER!$E:$E,""),"")=""),"Missing price",IFERROR(_xlfn.XLOOKUP(D169,HELPER!$B:$B,HELPER!$E:$E,"")," "))</f>
        <v/>
      </c>
      <c r="J169" s="72">
        <f>IFERROR(H169*(IF(G169=8,I169*HELPER!$G$2,BOM!I169*HELPER!$G$3))," ")</f>
        <v/>
      </c>
      <c r="K169" s="6" t="n"/>
      <c r="L169" s="14">
        <f t="array" ref="L169">IFERROR(_xlfn.LET(_xlpm.pairs,_xlfn._xlws.FILTER($A$2:$D$391,($A$2:$A$391&lt;&gt;"")*(TRIM($D$2:$D$391)&lt;&gt;"")),_xlpm.uniquePairs,_xlfn.UNIQUE(_xlfn.HSTACK(INDEX(_xlpm.pairs,,1),INDEX(_xlpm.pairs,,4))),_xlpm.sortedPairs,_xlfn._xlws.SORT(_xlpm.uniquePairs,1,1),IF(ROW()-1&lt;=ROWS(_xlpm.sortedPairs),INDEX(_xlpm.sortedPairs,ROW()-1,1),"")),"")</f>
        <v/>
      </c>
      <c r="M169" s="15">
        <f t="array" ref="M169">IFERROR(_xlfn.LET(_xlpm.pairs,_xlfn._xlws.FILTER($A$2:$D$391,($A$2:$A$391&lt;&gt;"")*(TRIM($D$2:$D$391)&lt;&gt;"")),_xlpm.uniquePairs,_xlfn.UNIQUE(_xlfn.HSTACK(INDEX(_xlpm.pairs,,1),INDEX(_xlpm.pairs,,4))),_xlpm.sortedPairs,_xlfn._xlws.SORT(_xlpm.uniquePairs,1,1),IF(ROW()-1&lt;=ROWS(_xlpm.sortedPairs),INDEX(_xlpm.sortedPairs,ROW()-1,2),"")),"")</f>
        <v/>
      </c>
      <c r="N169" s="15">
        <f t="array" ref="N169">IF(OR(L169="",M169=""),"",IFERROR(INDEX($E$2:$E$391,MATCH(1,($A$2:$A$391=L169)*($D$2:$D$391=M169),0)),""))</f>
        <v/>
      </c>
      <c r="O169" s="69">
        <f>IF(OR(L169="",M169=""),"",SUMIFS($J$2:$J$391,$A$2:$A$391,L169,$D$2:$D$391,M169))</f>
        <v/>
      </c>
      <c r="P169" s="6" t="n"/>
    </row>
    <row r="170">
      <c r="A170" s="44" t="inlineStr">
        <is>
          <t>TIPA 306W</t>
        </is>
      </c>
      <c r="B170" s="44" t="inlineStr">
        <is>
          <t xml:space="preserve">Ext. B </t>
        </is>
      </c>
      <c r="C170" s="43" t="n"/>
      <c r="D170" s="43">
        <f>IF(C170="","",IFERROR(_xlfn.XLOOKUP(C170,HELPER!$A$2:$A$76,HELPER!$B$2:$B$76,""),D170))</f>
        <v/>
      </c>
      <c r="E170" s="43">
        <f>IFERROR(_xlfn.XLOOKUP(D170,HELPER!$B:$B,HELPER!$C:$C,""),"")</f>
        <v/>
      </c>
      <c r="F170" s="42">
        <f>IFERROR(_xlfn.XLOOKUP(D170,HELPER!$B:$B,HELPER!$D:$D,""),"")</f>
        <v/>
      </c>
      <c r="G170" s="42" t="n">
        <v>24</v>
      </c>
      <c r="H170" s="556" t="n"/>
      <c r="I170" s="72">
        <f>IF(AND(H170&lt;&gt;"",IFERROR(_xlfn.XLOOKUP(D170,HELPER!$B:$B,HELPER!$E:$E,""),"")=""),"Missing price",IFERROR(_xlfn.XLOOKUP(D170,HELPER!$B:$B,HELPER!$E:$E,"")," "))</f>
        <v/>
      </c>
      <c r="J170" s="72">
        <f>IFERROR(H170*(IF(G170=8,I170*HELPER!$G$2,BOM!I170*HELPER!$G$3))," ")</f>
        <v/>
      </c>
      <c r="K170" s="6" t="n"/>
      <c r="L170" s="14">
        <f t="array" ref="L170">IFERROR(_xlfn.LET(_xlpm.pairs,_xlfn._xlws.FILTER($A$2:$D$391,($A$2:$A$391&lt;&gt;"")*(TRIM($D$2:$D$391)&lt;&gt;"")),_xlpm.uniquePairs,_xlfn.UNIQUE(_xlfn.HSTACK(INDEX(_xlpm.pairs,,1),INDEX(_xlpm.pairs,,4))),_xlpm.sortedPairs,_xlfn._xlws.SORT(_xlpm.uniquePairs,1,1),IF(ROW()-1&lt;=ROWS(_xlpm.sortedPairs),INDEX(_xlpm.sortedPairs,ROW()-1,1),"")),"")</f>
        <v/>
      </c>
      <c r="M170" s="15">
        <f t="array" ref="M170">IFERROR(_xlfn.LET(_xlpm.pairs,_xlfn._xlws.FILTER($A$2:$D$391,($A$2:$A$391&lt;&gt;"")*(TRIM($D$2:$D$391)&lt;&gt;"")),_xlpm.uniquePairs,_xlfn.UNIQUE(_xlfn.HSTACK(INDEX(_xlpm.pairs,,1),INDEX(_xlpm.pairs,,4))),_xlpm.sortedPairs,_xlfn._xlws.SORT(_xlpm.uniquePairs,1,1),IF(ROW()-1&lt;=ROWS(_xlpm.sortedPairs),INDEX(_xlpm.sortedPairs,ROW()-1,2),"")),"")</f>
        <v/>
      </c>
      <c r="N170" s="15">
        <f t="array" ref="N170">IF(OR(L170="",M170=""),"",IFERROR(INDEX($E$2:$E$391,MATCH(1,($A$2:$A$391=L170)*($D$2:$D$391=M170),0)),""))</f>
        <v/>
      </c>
      <c r="O170" s="69">
        <f>IF(OR(L170="",M170=""),"",SUMIFS($J$2:$J$391,$A$2:$A$391,L170,$D$2:$D$391,M170))</f>
        <v/>
      </c>
      <c r="P170" s="6" t="n"/>
    </row>
    <row r="171">
      <c r="A171" s="44" t="inlineStr">
        <is>
          <t>TIPA 306W</t>
        </is>
      </c>
      <c r="B171" s="44" t="inlineStr">
        <is>
          <t xml:space="preserve">Ext. B </t>
        </is>
      </c>
      <c r="C171" s="43" t="n"/>
      <c r="D171" s="43">
        <f>IF(C171="","",IFERROR(_xlfn.XLOOKUP(C171,HELPER!$A$2:$A$76,HELPER!$B$2:$B$76,""),D171))</f>
        <v/>
      </c>
      <c r="E171" s="43">
        <f>IFERROR(_xlfn.XLOOKUP(D171,HELPER!$B:$B,HELPER!$C:$C,""),"")</f>
        <v/>
      </c>
      <c r="F171" s="42">
        <f>IFERROR(_xlfn.XLOOKUP(D171,HELPER!$B:$B,HELPER!$D:$D,""),"")</f>
        <v/>
      </c>
      <c r="G171" s="42" t="n">
        <v>24</v>
      </c>
      <c r="H171" s="556" t="n"/>
      <c r="I171" s="72">
        <f>IF(AND(H171&lt;&gt;"",IFERROR(_xlfn.XLOOKUP(D171,HELPER!$B:$B,HELPER!$E:$E,""),"")=""),"Missing price",IFERROR(_xlfn.XLOOKUP(D171,HELPER!$B:$B,HELPER!$E:$E,"")," "))</f>
        <v/>
      </c>
      <c r="J171" s="72">
        <f>IFERROR(H171*(IF(G171=8,I171*HELPER!$G$2,BOM!I171*HELPER!$G$3))," ")</f>
        <v/>
      </c>
      <c r="K171" s="6" t="n"/>
      <c r="L171" s="14">
        <f t="array" ref="L171">IFERROR(_xlfn.LET(_xlpm.pairs,_xlfn._xlws.FILTER($A$2:$D$391,($A$2:$A$391&lt;&gt;"")*(TRIM($D$2:$D$391)&lt;&gt;"")),_xlpm.uniquePairs,_xlfn.UNIQUE(_xlfn.HSTACK(INDEX(_xlpm.pairs,,1),INDEX(_xlpm.pairs,,4))),_xlpm.sortedPairs,_xlfn._xlws.SORT(_xlpm.uniquePairs,1,1),IF(ROW()-1&lt;=ROWS(_xlpm.sortedPairs),INDEX(_xlpm.sortedPairs,ROW()-1,1),"")),"")</f>
        <v/>
      </c>
      <c r="M171" s="15">
        <f t="array" ref="M171">IFERROR(_xlfn.LET(_xlpm.pairs,_xlfn._xlws.FILTER($A$2:$D$391,($A$2:$A$391&lt;&gt;"")*(TRIM($D$2:$D$391)&lt;&gt;"")),_xlpm.uniquePairs,_xlfn.UNIQUE(_xlfn.HSTACK(INDEX(_xlpm.pairs,,1),INDEX(_xlpm.pairs,,4))),_xlpm.sortedPairs,_xlfn._xlws.SORT(_xlpm.uniquePairs,1,1),IF(ROW()-1&lt;=ROWS(_xlpm.sortedPairs),INDEX(_xlpm.sortedPairs,ROW()-1,2),"")),"")</f>
        <v/>
      </c>
      <c r="N171" s="15">
        <f t="array" ref="N171">IF(OR(L171="",M171=""),"",IFERROR(INDEX($E$2:$E$391,MATCH(1,($A$2:$A$391=L171)*($D$2:$D$391=M171),0)),""))</f>
        <v/>
      </c>
      <c r="O171" s="69">
        <f>IF(OR(L171="",M171=""),"",SUMIFS($J$2:$J$391,$A$2:$A$391,L171,$D$2:$D$391,M171))</f>
        <v/>
      </c>
      <c r="P171" s="6" t="n"/>
    </row>
    <row r="172">
      <c r="A172" s="44" t="inlineStr">
        <is>
          <t>TIPA 306W</t>
        </is>
      </c>
      <c r="B172" s="44" t="inlineStr">
        <is>
          <t>Ext. C (In)</t>
        </is>
      </c>
      <c r="C172" s="43" t="inlineStr">
        <is>
          <t>PBSA</t>
        </is>
      </c>
      <c r="D172" s="43">
        <f>IF(C172="","",IFERROR(_xlfn.XLOOKUP(C172,HELPER!$A$2:$A$76,HELPER!$B$2:$B$76,""),D172))</f>
        <v/>
      </c>
      <c r="E172" s="43">
        <f>IFERROR(_xlfn.XLOOKUP(D172,HELPER!$B:$B,HELPER!$C:$C,""),"")</f>
        <v/>
      </c>
      <c r="F172" s="42">
        <f>IFERROR(_xlfn.XLOOKUP(D172,HELPER!$B:$B,HELPER!$D:$D,""),"")</f>
        <v/>
      </c>
      <c r="G172" s="42" t="n">
        <v>8</v>
      </c>
      <c r="H172" s="556" t="n">
        <v>0.8080000000000001</v>
      </c>
      <c r="I172" s="72">
        <f>IF(AND(H172&lt;&gt;"",IFERROR(_xlfn.XLOOKUP(D172,HELPER!$B:$B,HELPER!$E:$E,""),"")=""),"Missing price",IFERROR(_xlfn.XLOOKUP(D172,HELPER!$B:$B,HELPER!$E:$E,"")," "))</f>
        <v/>
      </c>
      <c r="J172" s="72">
        <f>IFERROR(H172*(IF(G172=8,I172*HELPER!$G$2,BOM!I172*HELPER!$G$3))," ")</f>
        <v/>
      </c>
      <c r="K172" s="6" t="n"/>
      <c r="L172" s="14">
        <f t="array" ref="L172">IFERROR(_xlfn.LET(_xlpm.pairs,_xlfn._xlws.FILTER($A$2:$D$391,($A$2:$A$391&lt;&gt;"")*(TRIM($D$2:$D$391)&lt;&gt;"")),_xlpm.uniquePairs,_xlfn.UNIQUE(_xlfn.HSTACK(INDEX(_xlpm.pairs,,1),INDEX(_xlpm.pairs,,4))),_xlpm.sortedPairs,_xlfn._xlws.SORT(_xlpm.uniquePairs,1,1),IF(ROW()-1&lt;=ROWS(_xlpm.sortedPairs),INDEX(_xlpm.sortedPairs,ROW()-1,1),"")),"")</f>
        <v/>
      </c>
      <c r="M172" s="15">
        <f t="array" ref="M172">IFERROR(_xlfn.LET(_xlpm.pairs,_xlfn._xlws.FILTER($A$2:$D$391,($A$2:$A$391&lt;&gt;"")*(TRIM($D$2:$D$391)&lt;&gt;"")),_xlpm.uniquePairs,_xlfn.UNIQUE(_xlfn.HSTACK(INDEX(_xlpm.pairs,,1),INDEX(_xlpm.pairs,,4))),_xlpm.sortedPairs,_xlfn._xlws.SORT(_xlpm.uniquePairs,1,1),IF(ROW()-1&lt;=ROWS(_xlpm.sortedPairs),INDEX(_xlpm.sortedPairs,ROW()-1,2),"")),"")</f>
        <v/>
      </c>
      <c r="N172" s="15">
        <f t="array" ref="N172">IF(OR(L172="",M172=""),"",IFERROR(INDEX($E$2:$E$391,MATCH(1,($A$2:$A$391=L172)*($D$2:$D$391=M172),0)),""))</f>
        <v/>
      </c>
      <c r="O172" s="69">
        <f>IF(OR(L172="",M172=""),"",SUMIFS($J$2:$J$391,$A$2:$A$391,L172,$D$2:$D$391,M172))</f>
        <v/>
      </c>
      <c r="P172" s="6" t="n"/>
    </row>
    <row r="173">
      <c r="A173" s="44" t="inlineStr">
        <is>
          <t>TIPA 306W</t>
        </is>
      </c>
      <c r="B173" s="44" t="inlineStr">
        <is>
          <t>Ext. C (In)</t>
        </is>
      </c>
      <c r="C173" s="43" t="inlineStr">
        <is>
          <t>PLA</t>
        </is>
      </c>
      <c r="D173" s="43">
        <f>IF(C173="","",IFERROR(_xlfn.XLOOKUP(C173,HELPER!$A$2:$A$76,HELPER!$B$2:$B$76,""),D173))</f>
        <v/>
      </c>
      <c r="E173" s="43">
        <f>IFERROR(_xlfn.XLOOKUP(D173,HELPER!$B:$B,HELPER!$C:$C,""),"")</f>
        <v/>
      </c>
      <c r="F173" s="42">
        <f>IFERROR(_xlfn.XLOOKUP(D173,HELPER!$B:$B,HELPER!$D:$D,""),"")</f>
        <v/>
      </c>
      <c r="G173" s="42" t="n">
        <v>8</v>
      </c>
      <c r="H173" s="556" t="n">
        <v>0.142</v>
      </c>
      <c r="I173" s="72">
        <f>IF(AND(H173&lt;&gt;"",IFERROR(_xlfn.XLOOKUP(D173,HELPER!$B:$B,HELPER!$E:$E,""),"")=""),"Missing price",IFERROR(_xlfn.XLOOKUP(D173,HELPER!$B:$B,HELPER!$E:$E,"")," "))</f>
        <v/>
      </c>
      <c r="J173" s="72">
        <f>IFERROR(H173*(IF(G173=8,I173*HELPER!$G$2,BOM!I173*HELPER!$G$3))," ")</f>
        <v/>
      </c>
      <c r="K173" s="6" t="n"/>
      <c r="L173" s="14">
        <f t="array" ref="L173">IFERROR(_xlfn.LET(_xlpm.pairs,_xlfn._xlws.FILTER($A$2:$D$391,($A$2:$A$391&lt;&gt;"")*(TRIM($D$2:$D$391)&lt;&gt;"")),_xlpm.uniquePairs,_xlfn.UNIQUE(_xlfn.HSTACK(INDEX(_xlpm.pairs,,1),INDEX(_xlpm.pairs,,4))),_xlpm.sortedPairs,_xlfn._xlws.SORT(_xlpm.uniquePairs,1,1),IF(ROW()-1&lt;=ROWS(_xlpm.sortedPairs),INDEX(_xlpm.sortedPairs,ROW()-1,1),"")),"")</f>
        <v/>
      </c>
      <c r="M173" s="15">
        <f t="array" ref="M173">IFERROR(_xlfn.LET(_xlpm.pairs,_xlfn._xlws.FILTER($A$2:$D$391,($A$2:$A$391&lt;&gt;"")*(TRIM($D$2:$D$391)&lt;&gt;"")),_xlpm.uniquePairs,_xlfn.UNIQUE(_xlfn.HSTACK(INDEX(_xlpm.pairs,,1),INDEX(_xlpm.pairs,,4))),_xlpm.sortedPairs,_xlfn._xlws.SORT(_xlpm.uniquePairs,1,1),IF(ROW()-1&lt;=ROWS(_xlpm.sortedPairs),INDEX(_xlpm.sortedPairs,ROW()-1,2),"")),"")</f>
        <v/>
      </c>
      <c r="N173" s="15">
        <f t="array" ref="N173">IF(OR(L173="",M173=""),"",IFERROR(INDEX($E$2:$E$391,MATCH(1,($A$2:$A$391=L173)*($D$2:$D$391=M173),0)),""))</f>
        <v/>
      </c>
      <c r="O173" s="69">
        <f>IF(OR(L173="",M173=""),"",SUMIFS($J$2:$J$391,$A$2:$A$391,L173,$D$2:$D$391,M173))</f>
        <v/>
      </c>
      <c r="P173" s="6" t="n"/>
    </row>
    <row r="174">
      <c r="A174" s="44" t="inlineStr">
        <is>
          <t>TIPA 306W</t>
        </is>
      </c>
      <c r="B174" s="44" t="inlineStr">
        <is>
          <t>Ext. C (In)</t>
        </is>
      </c>
      <c r="C174" s="43" t="inlineStr">
        <is>
          <t>AB-PLA</t>
        </is>
      </c>
      <c r="D174" s="43">
        <f>IF(C174="","",IFERROR(_xlfn.XLOOKUP(C174,HELPER!$A$2:$A$76,HELPER!$B$2:$B$76,""),D174))</f>
        <v/>
      </c>
      <c r="E174" s="43">
        <f>IFERROR(_xlfn.XLOOKUP(D174,HELPER!$B:$B,HELPER!$C:$C,""),"")</f>
        <v/>
      </c>
      <c r="F174" s="42">
        <f>IFERROR(_xlfn.XLOOKUP(D174,HELPER!$B:$B,HELPER!$D:$D,""),"")</f>
        <v/>
      </c>
      <c r="G174" s="42" t="n">
        <v>8</v>
      </c>
      <c r="H174" s="556" t="n">
        <v>0.015</v>
      </c>
      <c r="I174" s="72">
        <f>IF(AND(H174&lt;&gt;"",IFERROR(_xlfn.XLOOKUP(D174,HELPER!$B:$B,HELPER!$E:$E,""),"")=""),"Missing price",IFERROR(_xlfn.XLOOKUP(D174,HELPER!$B:$B,HELPER!$E:$E,"")," "))</f>
        <v/>
      </c>
      <c r="J174" s="72">
        <f>IFERROR(H174*(IF(G174=8,I174*HELPER!$G$2,BOM!I174*HELPER!$G$3))," ")</f>
        <v/>
      </c>
      <c r="K174" s="6" t="n"/>
      <c r="L174" s="14">
        <f t="array" ref="L174">IFERROR(_xlfn.LET(_xlpm.pairs,_xlfn._xlws.FILTER($A$2:$D$391,($A$2:$A$391&lt;&gt;"")*(TRIM($D$2:$D$391)&lt;&gt;"")),_xlpm.uniquePairs,_xlfn.UNIQUE(_xlfn.HSTACK(INDEX(_xlpm.pairs,,1),INDEX(_xlpm.pairs,,4))),_xlpm.sortedPairs,_xlfn._xlws.SORT(_xlpm.uniquePairs,1,1),IF(ROW()-1&lt;=ROWS(_xlpm.sortedPairs),INDEX(_xlpm.sortedPairs,ROW()-1,1),"")),"")</f>
        <v/>
      </c>
      <c r="M174" s="15">
        <f t="array" ref="M174">IFERROR(_xlfn.LET(_xlpm.pairs,_xlfn._xlws.FILTER($A$2:$D$391,($A$2:$A$391&lt;&gt;"")*(TRIM($D$2:$D$391)&lt;&gt;"")),_xlpm.uniquePairs,_xlfn.UNIQUE(_xlfn.HSTACK(INDEX(_xlpm.pairs,,1),INDEX(_xlpm.pairs,,4))),_xlpm.sortedPairs,_xlfn._xlws.SORT(_xlpm.uniquePairs,1,1),IF(ROW()-1&lt;=ROWS(_xlpm.sortedPairs),INDEX(_xlpm.sortedPairs,ROW()-1,2),"")),"")</f>
        <v/>
      </c>
      <c r="N174" s="15">
        <f t="array" ref="N174">IF(OR(L174="",M174=""),"",IFERROR(INDEX($E$2:$E$391,MATCH(1,($A$2:$A$391=L174)*($D$2:$D$391=M174),0)),""))</f>
        <v/>
      </c>
      <c r="O174" s="69">
        <f>IF(OR(L174="",M174=""),"",SUMIFS($J$2:$J$391,$A$2:$A$391,L174,$D$2:$D$391,M174))</f>
        <v/>
      </c>
      <c r="P174" s="6" t="n"/>
    </row>
    <row r="175">
      <c r="A175" s="44" t="inlineStr">
        <is>
          <t>TIPA 306W</t>
        </is>
      </c>
      <c r="B175" s="44" t="inlineStr">
        <is>
          <t>Ext. C (In)</t>
        </is>
      </c>
      <c r="C175" s="43" t="inlineStr">
        <is>
          <t>AO-PBS</t>
        </is>
      </c>
      <c r="D175" s="43">
        <f>IF(C175="","",IFERROR(_xlfn.XLOOKUP(C175,HELPER!$A$2:$A$76,HELPER!$B$2:$B$76,""),D175))</f>
        <v/>
      </c>
      <c r="E175" s="43">
        <f>IFERROR(_xlfn.XLOOKUP(D175,HELPER!$B:$B,HELPER!$C:$C,""),"")</f>
        <v/>
      </c>
      <c r="F175" s="42">
        <f>IFERROR(_xlfn.XLOOKUP(D175,HELPER!$B:$B,HELPER!$D:$D,""),"")</f>
        <v/>
      </c>
      <c r="G175" s="42" t="n">
        <v>8</v>
      </c>
      <c r="H175" s="556" t="n">
        <v>0.015</v>
      </c>
      <c r="I175" s="72">
        <f>IF(AND(H175&lt;&gt;"",IFERROR(_xlfn.XLOOKUP(D175,HELPER!$B:$B,HELPER!$E:$E,""),"")=""),"Missing price",IFERROR(_xlfn.XLOOKUP(D175,HELPER!$B:$B,HELPER!$E:$E,"")," "))</f>
        <v/>
      </c>
      <c r="J175" s="72">
        <f>IFERROR(H175*(IF(G175=8,I175*HELPER!$G$2,BOM!I175*HELPER!$G$3))," ")</f>
        <v/>
      </c>
      <c r="K175" s="6" t="n"/>
      <c r="L175" s="14">
        <f t="array" ref="L175">IFERROR(_xlfn.LET(_xlpm.pairs,_xlfn._xlws.FILTER($A$2:$D$391,($A$2:$A$391&lt;&gt;"")*(TRIM($D$2:$D$391)&lt;&gt;"")),_xlpm.uniquePairs,_xlfn.UNIQUE(_xlfn.HSTACK(INDEX(_xlpm.pairs,,1),INDEX(_xlpm.pairs,,4))),_xlpm.sortedPairs,_xlfn._xlws.SORT(_xlpm.uniquePairs,1,1),IF(ROW()-1&lt;=ROWS(_xlpm.sortedPairs),INDEX(_xlpm.sortedPairs,ROW()-1,1),"")),"")</f>
        <v/>
      </c>
      <c r="M175" s="15">
        <f t="array" ref="M175">IFERROR(_xlfn.LET(_xlpm.pairs,_xlfn._xlws.FILTER($A$2:$D$391,($A$2:$A$391&lt;&gt;"")*(TRIM($D$2:$D$391)&lt;&gt;"")),_xlpm.uniquePairs,_xlfn.UNIQUE(_xlfn.HSTACK(INDEX(_xlpm.pairs,,1),INDEX(_xlpm.pairs,,4))),_xlpm.sortedPairs,_xlfn._xlws.SORT(_xlpm.uniquePairs,1,1),IF(ROW()-1&lt;=ROWS(_xlpm.sortedPairs),INDEX(_xlpm.sortedPairs,ROW()-1,2),"")),"")</f>
        <v/>
      </c>
      <c r="N175" s="15">
        <f t="array" ref="N175">IF(OR(L175="",M175=""),"",IFERROR(INDEX($E$2:$E$391,MATCH(1,($A$2:$A$391=L175)*($D$2:$D$391=M175),0)),""))</f>
        <v/>
      </c>
      <c r="O175" s="69">
        <f>IF(OR(L175="",M175=""),"",SUMIFS($J$2:$J$391,$A$2:$A$391,L175,$D$2:$D$391,M175))</f>
        <v/>
      </c>
      <c r="P175" s="6" t="n"/>
    </row>
    <row r="176">
      <c r="A176" s="44" t="inlineStr">
        <is>
          <t>TIPA 306W</t>
        </is>
      </c>
      <c r="B176" s="44" t="inlineStr">
        <is>
          <t>Ext. C (In)</t>
        </is>
      </c>
      <c r="C176" s="43" t="inlineStr">
        <is>
          <t>SLAB-PBSA</t>
        </is>
      </c>
      <c r="D176" s="43">
        <f>IF(C176="","",IFERROR(_xlfn.XLOOKUP(C176,HELPER!$A$2:$A$76,HELPER!$B$2:$B$76,""),D176))</f>
        <v/>
      </c>
      <c r="E176" s="43">
        <f>IFERROR(_xlfn.XLOOKUP(D176,HELPER!$B:$B,HELPER!$C:$C,""),"")</f>
        <v/>
      </c>
      <c r="F176" s="42">
        <f>IFERROR(_xlfn.XLOOKUP(D176,HELPER!$B:$B,HELPER!$D:$D,""),"")</f>
        <v/>
      </c>
      <c r="G176" s="42" t="n">
        <v>8</v>
      </c>
      <c r="H176" s="556" t="n">
        <v>0.02</v>
      </c>
      <c r="I176" s="72">
        <f>IF(AND(H176&lt;&gt;"",IFERROR(_xlfn.XLOOKUP(D176,HELPER!$B:$B,HELPER!$E:$E,""),"")=""),"Missing price",IFERROR(_xlfn.XLOOKUP(D176,HELPER!$B:$B,HELPER!$E:$E,"")," "))</f>
        <v/>
      </c>
      <c r="J176" s="72">
        <f>IFERROR(H176*(IF(G176=8,I176*HELPER!$G$2,BOM!I176*HELPER!$G$3))," ")</f>
        <v/>
      </c>
      <c r="K176" s="6" t="n"/>
      <c r="L176" s="14">
        <f t="array" ref="L176">IFERROR(_xlfn.LET(_xlpm.pairs,_xlfn._xlws.FILTER($A$2:$D$391,($A$2:$A$391&lt;&gt;"")*(TRIM($D$2:$D$391)&lt;&gt;"")),_xlpm.uniquePairs,_xlfn.UNIQUE(_xlfn.HSTACK(INDEX(_xlpm.pairs,,1),INDEX(_xlpm.pairs,,4))),_xlpm.sortedPairs,_xlfn._xlws.SORT(_xlpm.uniquePairs,1,1),IF(ROW()-1&lt;=ROWS(_xlpm.sortedPairs),INDEX(_xlpm.sortedPairs,ROW()-1,1),"")),"")</f>
        <v/>
      </c>
      <c r="M176" s="15">
        <f t="array" ref="M176">IFERROR(_xlfn.LET(_xlpm.pairs,_xlfn._xlws.FILTER($A$2:$D$391,($A$2:$A$391&lt;&gt;"")*(TRIM($D$2:$D$391)&lt;&gt;"")),_xlpm.uniquePairs,_xlfn.UNIQUE(_xlfn.HSTACK(INDEX(_xlpm.pairs,,1),INDEX(_xlpm.pairs,,4))),_xlpm.sortedPairs,_xlfn._xlws.SORT(_xlpm.uniquePairs,1,1),IF(ROW()-1&lt;=ROWS(_xlpm.sortedPairs),INDEX(_xlpm.sortedPairs,ROW()-1,2),"")),"")</f>
        <v/>
      </c>
      <c r="N176" s="15">
        <f t="array" ref="N176">IF(OR(L176="",M176=""),"",IFERROR(INDEX($E$2:$E$391,MATCH(1,($A$2:$A$391=L176)*($D$2:$D$391=M176),0)),""))</f>
        <v/>
      </c>
      <c r="O176" s="69">
        <f>IF(OR(L176="",M176=""),"",SUMIFS($J$2:$J$391,$A$2:$A$391,L176,$D$2:$D$391,M176))</f>
        <v/>
      </c>
      <c r="P176" s="6" t="n"/>
    </row>
    <row r="177">
      <c r="A177" s="44" t="inlineStr">
        <is>
          <t>TIPA 306W</t>
        </is>
      </c>
      <c r="B177" s="44" t="inlineStr">
        <is>
          <t>Ext. C (In)</t>
        </is>
      </c>
      <c r="C177" s="43" t="n"/>
      <c r="D177" s="43">
        <f>IF(C177="","",IFERROR(_xlfn.XLOOKUP(C177,HELPER!$A$2:$A$76,HELPER!$B$2:$B$76,""),D177))</f>
        <v/>
      </c>
      <c r="E177" s="43">
        <f>IFERROR(_xlfn.XLOOKUP(D177,HELPER!$B:$B,HELPER!$C:$C,""),"")</f>
        <v/>
      </c>
      <c r="F177" s="42">
        <f>IFERROR(_xlfn.XLOOKUP(D177,HELPER!$B:$B,HELPER!$D:$D,""),"")</f>
        <v/>
      </c>
      <c r="G177" s="42" t="n">
        <v>8</v>
      </c>
      <c r="H177" s="556" t="n"/>
      <c r="I177" s="72">
        <f>IF(AND(H177&lt;&gt;"",IFERROR(_xlfn.XLOOKUP(D177,HELPER!$B:$B,HELPER!$E:$E,""),"")=""),"Missing price",IFERROR(_xlfn.XLOOKUP(D177,HELPER!$B:$B,HELPER!$E:$E,"")," "))</f>
        <v/>
      </c>
      <c r="J177" s="72">
        <f>IFERROR(H177*(IF(G177=8,I177*HELPER!$G$2,BOM!I177*HELPER!$G$3))," ")</f>
        <v/>
      </c>
      <c r="K177" s="6" t="n"/>
      <c r="L177" s="14">
        <f t="array" ref="L177">IFERROR(_xlfn.LET(_xlpm.pairs,_xlfn._xlws.FILTER($A$2:$D$391,($A$2:$A$391&lt;&gt;"")*(TRIM($D$2:$D$391)&lt;&gt;"")),_xlpm.uniquePairs,_xlfn.UNIQUE(_xlfn.HSTACK(INDEX(_xlpm.pairs,,1),INDEX(_xlpm.pairs,,4))),_xlpm.sortedPairs,_xlfn._xlws.SORT(_xlpm.uniquePairs,1,1),IF(ROW()-1&lt;=ROWS(_xlpm.sortedPairs),INDEX(_xlpm.sortedPairs,ROW()-1,1),"")),"")</f>
        <v/>
      </c>
      <c r="M177" s="15">
        <f t="array" ref="M177">IFERROR(_xlfn.LET(_xlpm.pairs,_xlfn._xlws.FILTER($A$2:$D$391,($A$2:$A$391&lt;&gt;"")*(TRIM($D$2:$D$391)&lt;&gt;"")),_xlpm.uniquePairs,_xlfn.UNIQUE(_xlfn.HSTACK(INDEX(_xlpm.pairs,,1),INDEX(_xlpm.pairs,,4))),_xlpm.sortedPairs,_xlfn._xlws.SORT(_xlpm.uniquePairs,1,1),IF(ROW()-1&lt;=ROWS(_xlpm.sortedPairs),INDEX(_xlpm.sortedPairs,ROW()-1,2),"")),"")</f>
        <v/>
      </c>
      <c r="N177" s="15">
        <f t="array" ref="N177">IF(OR(L177="",M177=""),"",IFERROR(INDEX($E$2:$E$391,MATCH(1,($A$2:$A$391=L177)*($D$2:$D$391=M177),0)),""))</f>
        <v/>
      </c>
      <c r="O177" s="69">
        <f>IF(OR(L177="",M177=""),"",SUMIFS($J$2:$J$391,$A$2:$A$391,L177,$D$2:$D$391,M177))</f>
        <v/>
      </c>
      <c r="P177" s="6" t="n"/>
    </row>
    <row r="178">
      <c r="A178" s="44" t="inlineStr">
        <is>
          <t>TIPA 306W</t>
        </is>
      </c>
      <c r="B178" s="44" t="inlineStr">
        <is>
          <t>Ext. C (In)</t>
        </is>
      </c>
      <c r="C178" s="43" t="n"/>
      <c r="D178" s="43">
        <f>IF(C178="","",IFERROR(_xlfn.XLOOKUP(C178,HELPER!$A$2:$A$76,HELPER!$B$2:$B$76,""),D178))</f>
        <v/>
      </c>
      <c r="E178" s="43">
        <f>IFERROR(_xlfn.XLOOKUP(D178,HELPER!$B:$B,HELPER!$C:$C,""),"")</f>
        <v/>
      </c>
      <c r="F178" s="42">
        <f>IFERROR(_xlfn.XLOOKUP(D178,HELPER!$B:$B,HELPER!$D:$D,""),"")</f>
        <v/>
      </c>
      <c r="G178" s="42" t="n">
        <v>8</v>
      </c>
      <c r="H178" s="556" t="n"/>
      <c r="I178" s="72">
        <f>IF(AND(H178&lt;&gt;"",IFERROR(_xlfn.XLOOKUP(D178,HELPER!$B:$B,HELPER!$E:$E,""),"")=""),"Missing price",IFERROR(_xlfn.XLOOKUP(D178,HELPER!$B:$B,HELPER!$E:$E,"")," "))</f>
        <v/>
      </c>
      <c r="J178" s="72">
        <f>IFERROR(H178*(IF(G178=8,I178*HELPER!$G$2,BOM!I178*HELPER!$G$3))," ")</f>
        <v/>
      </c>
      <c r="K178" s="6" t="n"/>
      <c r="L178" s="14">
        <f t="array" ref="L178">IFERROR(_xlfn.LET(_xlpm.pairs,_xlfn._xlws.FILTER($A$2:$D$391,($A$2:$A$391&lt;&gt;"")*(TRIM($D$2:$D$391)&lt;&gt;"")),_xlpm.uniquePairs,_xlfn.UNIQUE(_xlfn.HSTACK(INDEX(_xlpm.pairs,,1),INDEX(_xlpm.pairs,,4))),_xlpm.sortedPairs,_xlfn._xlws.SORT(_xlpm.uniquePairs,1,1),IF(ROW()-1&lt;=ROWS(_xlpm.sortedPairs),INDEX(_xlpm.sortedPairs,ROW()-1,1),"")),"")</f>
        <v/>
      </c>
      <c r="M178" s="15">
        <f t="array" ref="M178">IFERROR(_xlfn.LET(_xlpm.pairs,_xlfn._xlws.FILTER($A$2:$D$391,($A$2:$A$391&lt;&gt;"")*(TRIM($D$2:$D$391)&lt;&gt;"")),_xlpm.uniquePairs,_xlfn.UNIQUE(_xlfn.HSTACK(INDEX(_xlpm.pairs,,1),INDEX(_xlpm.pairs,,4))),_xlpm.sortedPairs,_xlfn._xlws.SORT(_xlpm.uniquePairs,1,1),IF(ROW()-1&lt;=ROWS(_xlpm.sortedPairs),INDEX(_xlpm.sortedPairs,ROW()-1,2),"")),"")</f>
        <v/>
      </c>
      <c r="N178" s="15">
        <f t="array" ref="N178">IF(OR(L178="",M178=""),"",IFERROR(INDEX($E$2:$E$391,MATCH(1,($A$2:$A$391=L178)*($D$2:$D$391=M178),0)),""))</f>
        <v/>
      </c>
      <c r="O178" s="69">
        <f>IF(OR(L178="",M178=""),"",SUMIFS($J$2:$J$391,$A$2:$A$391,L178,$D$2:$D$391,M178))</f>
        <v/>
      </c>
      <c r="P178" s="6" t="n"/>
    </row>
    <row r="179">
      <c r="A179" s="44" t="inlineStr">
        <is>
          <t>TIPA 306W</t>
        </is>
      </c>
      <c r="B179" s="44" t="inlineStr">
        <is>
          <t>Ext. C (In)</t>
        </is>
      </c>
      <c r="C179" s="43" t="n"/>
      <c r="D179" s="43">
        <f>IF(C179="","",IFERROR(_xlfn.XLOOKUP(C179,HELPER!$A$2:$A$76,HELPER!$B$2:$B$76,""),D179))</f>
        <v/>
      </c>
      <c r="E179" s="43">
        <f>IFERROR(_xlfn.XLOOKUP(D179,HELPER!$B:$B,HELPER!$C:$C,""),"")</f>
        <v/>
      </c>
      <c r="F179" s="42">
        <f>IFERROR(_xlfn.XLOOKUP(D179,HELPER!$B:$B,HELPER!$D:$D,""),"")</f>
        <v/>
      </c>
      <c r="G179" s="42" t="n">
        <v>8</v>
      </c>
      <c r="H179" s="556" t="n"/>
      <c r="I179" s="72">
        <f>IF(AND(H179&lt;&gt;"",IFERROR(_xlfn.XLOOKUP(D179,HELPER!$B:$B,HELPER!$E:$E,""),"")=""),"Missing price",IFERROR(_xlfn.XLOOKUP(D179,HELPER!$B:$B,HELPER!$E:$E,"")," "))</f>
        <v/>
      </c>
      <c r="J179" s="72">
        <f>IFERROR(H179*(IF(G179=8,I179*HELPER!$G$2,BOM!I179*HELPER!$G$3))," ")</f>
        <v/>
      </c>
      <c r="K179" s="6" t="n"/>
      <c r="L179" s="14">
        <f t="array" ref="L179">IFERROR(_xlfn.LET(_xlpm.pairs,_xlfn._xlws.FILTER($A$2:$D$391,($A$2:$A$391&lt;&gt;"")*(TRIM($D$2:$D$391)&lt;&gt;"")),_xlpm.uniquePairs,_xlfn.UNIQUE(_xlfn.HSTACK(INDEX(_xlpm.pairs,,1),INDEX(_xlpm.pairs,,4))),_xlpm.sortedPairs,_xlfn._xlws.SORT(_xlpm.uniquePairs,1,1),IF(ROW()-1&lt;=ROWS(_xlpm.sortedPairs),INDEX(_xlpm.sortedPairs,ROW()-1,1),"")),"")</f>
        <v/>
      </c>
      <c r="M179" s="15">
        <f t="array" ref="M179">IFERROR(_xlfn.LET(_xlpm.pairs,_xlfn._xlws.FILTER($A$2:$D$391,($A$2:$A$391&lt;&gt;"")*(TRIM($D$2:$D$391)&lt;&gt;"")),_xlpm.uniquePairs,_xlfn.UNIQUE(_xlfn.HSTACK(INDEX(_xlpm.pairs,,1),INDEX(_xlpm.pairs,,4))),_xlpm.sortedPairs,_xlfn._xlws.SORT(_xlpm.uniquePairs,1,1),IF(ROW()-1&lt;=ROWS(_xlpm.sortedPairs),INDEX(_xlpm.sortedPairs,ROW()-1,2),"")),"")</f>
        <v/>
      </c>
      <c r="N179" s="15">
        <f t="array" ref="N179">IF(OR(L179="",M179=""),"",IFERROR(INDEX($E$2:$E$391,MATCH(1,($A$2:$A$391=L179)*($D$2:$D$391=M179),0)),""))</f>
        <v/>
      </c>
      <c r="O179" s="69">
        <f>IF(OR(L179="",M179=""),"",SUMIFS($J$2:$J$391,$A$2:$A$391,L179,$D$2:$D$391,M179))</f>
        <v/>
      </c>
      <c r="P179" s="6" t="n"/>
    </row>
    <row r="180">
      <c r="A180" s="44" t="inlineStr">
        <is>
          <t>TIPA 306W</t>
        </is>
      </c>
      <c r="B180" s="44" t="inlineStr">
        <is>
          <t>Ext. C (In)</t>
        </is>
      </c>
      <c r="C180" s="43" t="n"/>
      <c r="D180" s="43">
        <f>IF(C180="","",IFERROR(_xlfn.XLOOKUP(C180,HELPER!$A$2:$A$76,HELPER!$B$2:$B$76,""),D180))</f>
        <v/>
      </c>
      <c r="E180" s="43">
        <f>IFERROR(_xlfn.XLOOKUP(D180,HELPER!$B:$B,HELPER!$C:$C,""),"")</f>
        <v/>
      </c>
      <c r="F180" s="42">
        <f>IFERROR(_xlfn.XLOOKUP(D180,HELPER!$B:$B,HELPER!$D:$D,""),"")</f>
        <v/>
      </c>
      <c r="G180" s="42" t="n">
        <v>8</v>
      </c>
      <c r="H180" s="556" t="n"/>
      <c r="I180" s="72">
        <f>IF(AND(H180&lt;&gt;"",IFERROR(_xlfn.XLOOKUP(D180,HELPER!$B:$B,HELPER!$E:$E,""),"")=""),"Missing price",IFERROR(_xlfn.XLOOKUP(D180,HELPER!$B:$B,HELPER!$E:$E,"")," "))</f>
        <v/>
      </c>
      <c r="J180" s="72">
        <f>IFERROR(H180*(IF(G180=8,I180*HELPER!$G$2,BOM!I180*HELPER!$G$3))," ")</f>
        <v/>
      </c>
      <c r="K180" s="6" t="n"/>
      <c r="L180" s="14">
        <f t="array" ref="L180">IFERROR(_xlfn.LET(_xlpm.pairs,_xlfn._xlws.FILTER($A$2:$D$391,($A$2:$A$391&lt;&gt;"")*(TRIM($D$2:$D$391)&lt;&gt;"")),_xlpm.uniquePairs,_xlfn.UNIQUE(_xlfn.HSTACK(INDEX(_xlpm.pairs,,1),INDEX(_xlpm.pairs,,4))),_xlpm.sortedPairs,_xlfn._xlws.SORT(_xlpm.uniquePairs,1,1),IF(ROW()-1&lt;=ROWS(_xlpm.sortedPairs),INDEX(_xlpm.sortedPairs,ROW()-1,1),"")),"")</f>
        <v/>
      </c>
      <c r="M180" s="15">
        <f t="array" ref="M180">IFERROR(_xlfn.LET(_xlpm.pairs,_xlfn._xlws.FILTER($A$2:$D$391,($A$2:$A$391&lt;&gt;"")*(TRIM($D$2:$D$391)&lt;&gt;"")),_xlpm.uniquePairs,_xlfn.UNIQUE(_xlfn.HSTACK(INDEX(_xlpm.pairs,,1),INDEX(_xlpm.pairs,,4))),_xlpm.sortedPairs,_xlfn._xlws.SORT(_xlpm.uniquePairs,1,1),IF(ROW()-1&lt;=ROWS(_xlpm.sortedPairs),INDEX(_xlpm.sortedPairs,ROW()-1,2),"")),"")</f>
        <v/>
      </c>
      <c r="N180" s="15">
        <f t="array" ref="N180">IF(OR(L180="",M180=""),"",IFERROR(INDEX($E$2:$E$391,MATCH(1,($A$2:$A$391=L180)*($D$2:$D$391=M180),0)),""))</f>
        <v/>
      </c>
      <c r="O180" s="69">
        <f>IF(OR(L180="",M180=""),"",SUMIFS($J$2:$J$391,$A$2:$A$391,L180,$D$2:$D$391,M180))</f>
        <v/>
      </c>
      <c r="P180" s="6" t="n"/>
    </row>
    <row r="181">
      <c r="A181" s="44" t="inlineStr">
        <is>
          <t>TIPA 306W</t>
        </is>
      </c>
      <c r="B181" s="44" t="inlineStr">
        <is>
          <t>Ext. C (In)</t>
        </is>
      </c>
      <c r="C181" s="43" t="n"/>
      <c r="D181" s="43">
        <f>IF(C181="","",IFERROR(_xlfn.XLOOKUP(C181,HELPER!$A$2:$A$76,HELPER!$B$2:$B$76,""),D181))</f>
        <v/>
      </c>
      <c r="E181" s="43">
        <f>IFERROR(_xlfn.XLOOKUP(D181,HELPER!$B:$B,HELPER!$C:$C,""),"")</f>
        <v/>
      </c>
      <c r="F181" s="42">
        <f>IFERROR(_xlfn.XLOOKUP(D181,HELPER!$B:$B,HELPER!$D:$D,""),"")</f>
        <v/>
      </c>
      <c r="G181" s="42" t="n">
        <v>8</v>
      </c>
      <c r="H181" s="556" t="n"/>
      <c r="I181" s="72">
        <f>IF(AND(H181&lt;&gt;"",IFERROR(_xlfn.XLOOKUP(D181,HELPER!$B:$B,HELPER!$E:$E,""),"")=""),"Missing price",IFERROR(_xlfn.XLOOKUP(D181,HELPER!$B:$B,HELPER!$E:$E,"")," "))</f>
        <v/>
      </c>
      <c r="J181" s="72">
        <f>IFERROR(H181*(IF(G181=8,I181*HELPER!$G$2,BOM!I181*HELPER!$G$3))," ")</f>
        <v/>
      </c>
      <c r="K181" s="6" t="n"/>
      <c r="L181" s="14">
        <f t="array" ref="L181">IFERROR(_xlfn.LET(_xlpm.pairs,_xlfn._xlws.FILTER($A$2:$D$391,($A$2:$A$391&lt;&gt;"")*(TRIM($D$2:$D$391)&lt;&gt;"")),_xlpm.uniquePairs,_xlfn.UNIQUE(_xlfn.HSTACK(INDEX(_xlpm.pairs,,1),INDEX(_xlpm.pairs,,4))),_xlpm.sortedPairs,_xlfn._xlws.SORT(_xlpm.uniquePairs,1,1),IF(ROW()-1&lt;=ROWS(_xlpm.sortedPairs),INDEX(_xlpm.sortedPairs,ROW()-1,1),"")),"")</f>
        <v/>
      </c>
      <c r="M181" s="15">
        <f t="array" ref="M181">IFERROR(_xlfn.LET(_xlpm.pairs,_xlfn._xlws.FILTER($A$2:$D$391,($A$2:$A$391&lt;&gt;"")*(TRIM($D$2:$D$391)&lt;&gt;"")),_xlpm.uniquePairs,_xlfn.UNIQUE(_xlfn.HSTACK(INDEX(_xlpm.pairs,,1),INDEX(_xlpm.pairs,,4))),_xlpm.sortedPairs,_xlfn._xlws.SORT(_xlpm.uniquePairs,1,1),IF(ROW()-1&lt;=ROWS(_xlpm.sortedPairs),INDEX(_xlpm.sortedPairs,ROW()-1,2),"")),"")</f>
        <v/>
      </c>
      <c r="N181" s="15">
        <f t="array" ref="N181">IF(OR(L181="",M181=""),"",IFERROR(INDEX($E$2:$E$391,MATCH(1,($A$2:$A$391=L181)*($D$2:$D$391=M181),0)),""))</f>
        <v/>
      </c>
      <c r="O181" s="69">
        <f>IF(OR(L181="",M181=""),"",SUMIFS($J$2:$J$391,$A$2:$A$391,L181,$D$2:$D$391,M181))</f>
        <v/>
      </c>
      <c r="P181" s="6" t="n"/>
    </row>
    <row r="182">
      <c r="A182" s="44" t="inlineStr">
        <is>
          <t>PL202.1</t>
        </is>
      </c>
      <c r="B182" s="44" t="inlineStr">
        <is>
          <t>Ext. A (Out - Chillroll)</t>
        </is>
      </c>
      <c r="C182" s="43" t="inlineStr">
        <is>
          <t>PBSA</t>
        </is>
      </c>
      <c r="D182" s="43">
        <f>IF(C182="","",IFERROR(_xlfn.XLOOKUP(C182,HELPER!$A$2:$A$76,HELPER!$B$2:$B$76,""),D182))</f>
        <v/>
      </c>
      <c r="E182" s="43">
        <f>IFERROR(_xlfn.XLOOKUP(D182,HELPER!$B:$B,HELPER!$C:$C,""),"")</f>
        <v/>
      </c>
      <c r="F182" s="42">
        <f>IFERROR(_xlfn.XLOOKUP(D182,HELPER!$B:$B,HELPER!$D:$D,""),"")</f>
        <v/>
      </c>
      <c r="G182" s="42" t="n">
        <v>24</v>
      </c>
      <c r="H182" s="556" t="n">
        <v>0.803</v>
      </c>
      <c r="I182" s="72">
        <f>IF(AND(H182&lt;&gt;"",IFERROR(_xlfn.XLOOKUP(D182,HELPER!$B:$B,HELPER!$E:$E,""),"")=""),"Missing price",IFERROR(_xlfn.XLOOKUP(D182,HELPER!$B:$B,HELPER!$E:$E,"")," "))</f>
        <v/>
      </c>
      <c r="J182" s="72">
        <f>IFERROR(H182*(IF(G182=8,I182*HELPER!$G$2,BOM!I182*HELPER!$G$3))," ")</f>
        <v/>
      </c>
      <c r="K182" s="6" t="n"/>
      <c r="L182" s="14">
        <f t="array" ref="L182">IFERROR(_xlfn.LET(_xlpm.pairs,_xlfn._xlws.FILTER($A$2:$D$391,($A$2:$A$391&lt;&gt;"")*(TRIM($D$2:$D$391)&lt;&gt;"")),_xlpm.uniquePairs,_xlfn.UNIQUE(_xlfn.HSTACK(INDEX(_xlpm.pairs,,1),INDEX(_xlpm.pairs,,4))),_xlpm.sortedPairs,_xlfn._xlws.SORT(_xlpm.uniquePairs,1,1),IF(ROW()-1&lt;=ROWS(_xlpm.sortedPairs),INDEX(_xlpm.sortedPairs,ROW()-1,1),"")),"")</f>
        <v/>
      </c>
      <c r="M182" s="15">
        <f t="array" ref="M182">IFERROR(_xlfn.LET(_xlpm.pairs,_xlfn._xlws.FILTER($A$2:$D$391,($A$2:$A$391&lt;&gt;"")*(TRIM($D$2:$D$391)&lt;&gt;"")),_xlpm.uniquePairs,_xlfn.UNIQUE(_xlfn.HSTACK(INDEX(_xlpm.pairs,,1),INDEX(_xlpm.pairs,,4))),_xlpm.sortedPairs,_xlfn._xlws.SORT(_xlpm.uniquePairs,1,1),IF(ROW()-1&lt;=ROWS(_xlpm.sortedPairs),INDEX(_xlpm.sortedPairs,ROW()-1,2),"")),"")</f>
        <v/>
      </c>
      <c r="N182" s="15">
        <f t="array" ref="N182">IF(OR(L182="",M182=""),"",IFERROR(INDEX($E$2:$E$391,MATCH(1,($A$2:$A$391=L182)*($D$2:$D$391=M182),0)),""))</f>
        <v/>
      </c>
      <c r="O182" s="69">
        <f>IF(OR(L182="",M182=""),"",SUMIFS($J$2:$J$391,$A$2:$A$391,L182,$D$2:$D$391,M182))</f>
        <v/>
      </c>
      <c r="P182" s="6" t="n"/>
    </row>
    <row r="183">
      <c r="A183" s="44" t="inlineStr">
        <is>
          <t>PL202.1</t>
        </is>
      </c>
      <c r="B183" s="44" t="inlineStr">
        <is>
          <t>Ext. A (Out - Chillroll)</t>
        </is>
      </c>
      <c r="C183" s="43" t="inlineStr">
        <is>
          <t>PLA</t>
        </is>
      </c>
      <c r="D183" s="43">
        <f>IF(C183="","",IFERROR(_xlfn.XLOOKUP(C183,HELPER!$A$2:$A$76,HELPER!$B$2:$B$76,""),D183))</f>
        <v/>
      </c>
      <c r="E183" s="43">
        <f>IFERROR(_xlfn.XLOOKUP(D183,HELPER!$B:$B,HELPER!$C:$C,""),"")</f>
        <v/>
      </c>
      <c r="F183" s="42">
        <f>IFERROR(_xlfn.XLOOKUP(D183,HELPER!$B:$B,HELPER!$D:$D,""),"")</f>
        <v/>
      </c>
      <c r="G183" s="42" t="n">
        <v>24</v>
      </c>
      <c r="H183" s="556" t="n">
        <v>0.142</v>
      </c>
      <c r="I183" s="72">
        <f>IF(AND(H183&lt;&gt;"",IFERROR(_xlfn.XLOOKUP(D183,HELPER!$B:$B,HELPER!$E:$E,""),"")=""),"Missing price",IFERROR(_xlfn.XLOOKUP(D183,HELPER!$B:$B,HELPER!$E:$E,"")," "))</f>
        <v/>
      </c>
      <c r="J183" s="72">
        <f>IFERROR(H183*(IF(G183=8,I183*HELPER!$G$2,BOM!I183*HELPER!$G$3))," ")</f>
        <v/>
      </c>
      <c r="K183" s="6" t="n"/>
      <c r="L183" s="14">
        <f t="array" ref="L183">IFERROR(_xlfn.LET(_xlpm.pairs,_xlfn._xlws.FILTER($A$2:$D$391,($A$2:$A$391&lt;&gt;"")*(TRIM($D$2:$D$391)&lt;&gt;"")),_xlpm.uniquePairs,_xlfn.UNIQUE(_xlfn.HSTACK(INDEX(_xlpm.pairs,,1),INDEX(_xlpm.pairs,,4))),_xlpm.sortedPairs,_xlfn._xlws.SORT(_xlpm.uniquePairs,1,1),IF(ROW()-1&lt;=ROWS(_xlpm.sortedPairs),INDEX(_xlpm.sortedPairs,ROW()-1,1),"")),"")</f>
        <v/>
      </c>
      <c r="M183" s="15">
        <f t="array" ref="M183">IFERROR(_xlfn.LET(_xlpm.pairs,_xlfn._xlws.FILTER($A$2:$D$391,($A$2:$A$391&lt;&gt;"")*(TRIM($D$2:$D$391)&lt;&gt;"")),_xlpm.uniquePairs,_xlfn.UNIQUE(_xlfn.HSTACK(INDEX(_xlpm.pairs,,1),INDEX(_xlpm.pairs,,4))),_xlpm.sortedPairs,_xlfn._xlws.SORT(_xlpm.uniquePairs,1,1),IF(ROW()-1&lt;=ROWS(_xlpm.sortedPairs),INDEX(_xlpm.sortedPairs,ROW()-1,2),"")),"")</f>
        <v/>
      </c>
      <c r="N183" s="15">
        <f t="array" ref="N183">IF(OR(L183="",M183=""),"",IFERROR(INDEX($E$2:$E$391,MATCH(1,($A$2:$A$391=L183)*($D$2:$D$391=M183),0)),""))</f>
        <v/>
      </c>
      <c r="O183" s="69">
        <f>IF(OR(L183="",M183=""),"",SUMIFS($J$2:$J$391,$A$2:$A$391,L183,$D$2:$D$391,M183))</f>
        <v/>
      </c>
      <c r="P183" s="6" t="n"/>
    </row>
    <row r="184">
      <c r="A184" s="44" t="inlineStr">
        <is>
          <t>PL202.1</t>
        </is>
      </c>
      <c r="B184" s="44" t="inlineStr">
        <is>
          <t>Ext. A (Out - Chillroll)</t>
        </is>
      </c>
      <c r="C184" s="43" t="inlineStr">
        <is>
          <t>AO-PBS</t>
        </is>
      </c>
      <c r="D184" s="43">
        <f>IF(C184="","",IFERROR(_xlfn.XLOOKUP(C184,HELPER!$A$2:$A$76,HELPER!$B$2:$B$76,""),D184))</f>
        <v/>
      </c>
      <c r="E184" s="43">
        <f>IFERROR(_xlfn.XLOOKUP(D184,HELPER!$B:$B,HELPER!$C:$C,""),"")</f>
        <v/>
      </c>
      <c r="F184" s="42">
        <f>IFERROR(_xlfn.XLOOKUP(D184,HELPER!$B:$B,HELPER!$D:$D,""),"")</f>
        <v/>
      </c>
      <c r="G184" s="42" t="n">
        <v>24</v>
      </c>
      <c r="H184" s="556" t="n">
        <v>0.02</v>
      </c>
      <c r="I184" s="72">
        <f>IF(AND(H184&lt;&gt;"",IFERROR(_xlfn.XLOOKUP(D184,HELPER!$B:$B,HELPER!$E:$E,""),"")=""),"Missing price",IFERROR(_xlfn.XLOOKUP(D184,HELPER!$B:$B,HELPER!$E:$E,"")," "))</f>
        <v/>
      </c>
      <c r="J184" s="72">
        <f>IFERROR(H184*(IF(G184=8,I184*HELPER!$G$2,BOM!I184*HELPER!$G$3))," ")</f>
        <v/>
      </c>
      <c r="K184" s="6" t="n"/>
      <c r="L184" s="14">
        <f t="array" ref="L184">IFERROR(_xlfn.LET(_xlpm.pairs,_xlfn._xlws.FILTER($A$2:$D$391,($A$2:$A$391&lt;&gt;"")*(TRIM($D$2:$D$391)&lt;&gt;"")),_xlpm.uniquePairs,_xlfn.UNIQUE(_xlfn.HSTACK(INDEX(_xlpm.pairs,,1),INDEX(_xlpm.pairs,,4))),_xlpm.sortedPairs,_xlfn._xlws.SORT(_xlpm.uniquePairs,1,1),IF(ROW()-1&lt;=ROWS(_xlpm.sortedPairs),INDEX(_xlpm.sortedPairs,ROW()-1,1),"")),"")</f>
        <v/>
      </c>
      <c r="M184" s="15">
        <f t="array" ref="M184">IFERROR(_xlfn.LET(_xlpm.pairs,_xlfn._xlws.FILTER($A$2:$D$391,($A$2:$A$391&lt;&gt;"")*(TRIM($D$2:$D$391)&lt;&gt;"")),_xlpm.uniquePairs,_xlfn.UNIQUE(_xlfn.HSTACK(INDEX(_xlpm.pairs,,1),INDEX(_xlpm.pairs,,4))),_xlpm.sortedPairs,_xlfn._xlws.SORT(_xlpm.uniquePairs,1,1),IF(ROW()-1&lt;=ROWS(_xlpm.sortedPairs),INDEX(_xlpm.sortedPairs,ROW()-1,2),"")),"")</f>
        <v/>
      </c>
      <c r="N184" s="15">
        <f t="array" ref="N184">IF(OR(L184="",M184=""),"",IFERROR(INDEX($E$2:$E$391,MATCH(1,($A$2:$A$391=L184)*($D$2:$D$391=M184),0)),""))</f>
        <v/>
      </c>
      <c r="O184" s="69">
        <f>IF(OR(L184="",M184=""),"",SUMIFS($J$2:$J$391,$A$2:$A$391,L184,$D$2:$D$391,M184))</f>
        <v/>
      </c>
      <c r="P184" s="6" t="n"/>
    </row>
    <row r="185">
      <c r="A185" s="44" t="inlineStr">
        <is>
          <t>PL202.1</t>
        </is>
      </c>
      <c r="B185" s="44" t="inlineStr">
        <is>
          <t>Ext. A (Out - Chillroll)</t>
        </is>
      </c>
      <c r="C185" s="43" t="inlineStr">
        <is>
          <t>SLAB-PBSA</t>
        </is>
      </c>
      <c r="D185" s="43">
        <f>IF(C185="","",IFERROR(_xlfn.XLOOKUP(C185,HELPER!$A$2:$A$76,HELPER!$B$2:$B$76,""),D185))</f>
        <v/>
      </c>
      <c r="E185" s="43">
        <f>IFERROR(_xlfn.XLOOKUP(D185,HELPER!$B:$B,HELPER!$C:$C,""),"")</f>
        <v/>
      </c>
      <c r="F185" s="42">
        <f>IFERROR(_xlfn.XLOOKUP(D185,HELPER!$B:$B,HELPER!$D:$D,""),"")</f>
        <v/>
      </c>
      <c r="G185" s="42" t="n">
        <v>24</v>
      </c>
      <c r="H185" s="556" t="n">
        <v>0.02</v>
      </c>
      <c r="I185" s="72">
        <f>IF(AND(H185&lt;&gt;"",IFERROR(_xlfn.XLOOKUP(D185,HELPER!$B:$B,HELPER!$E:$E,""),"")=""),"Missing price",IFERROR(_xlfn.XLOOKUP(D185,HELPER!$B:$B,HELPER!$E:$E,"")," "))</f>
        <v/>
      </c>
      <c r="J185" s="72">
        <f>IFERROR(H185*(IF(G185=8,I185*HELPER!$G$2,BOM!I185*HELPER!$G$3))," ")</f>
        <v/>
      </c>
      <c r="K185" s="6" t="n"/>
      <c r="L185" s="14">
        <f t="array" ref="L185">IFERROR(_xlfn.LET(_xlpm.pairs,_xlfn._xlws.FILTER($A$2:$D$391,($A$2:$A$391&lt;&gt;"")*(TRIM($D$2:$D$391)&lt;&gt;"")),_xlpm.uniquePairs,_xlfn.UNIQUE(_xlfn.HSTACK(INDEX(_xlpm.pairs,,1),INDEX(_xlpm.pairs,,4))),_xlpm.sortedPairs,_xlfn._xlws.SORT(_xlpm.uniquePairs,1,1),IF(ROW()-1&lt;=ROWS(_xlpm.sortedPairs),INDEX(_xlpm.sortedPairs,ROW()-1,1),"")),"")</f>
        <v/>
      </c>
      <c r="M185" s="15">
        <f t="array" ref="M185">IFERROR(_xlfn.LET(_xlpm.pairs,_xlfn._xlws.FILTER($A$2:$D$391,($A$2:$A$391&lt;&gt;"")*(TRIM($D$2:$D$391)&lt;&gt;"")),_xlpm.uniquePairs,_xlfn.UNIQUE(_xlfn.HSTACK(INDEX(_xlpm.pairs,,1),INDEX(_xlpm.pairs,,4))),_xlpm.sortedPairs,_xlfn._xlws.SORT(_xlpm.uniquePairs,1,1),IF(ROW()-1&lt;=ROWS(_xlpm.sortedPairs),INDEX(_xlpm.sortedPairs,ROW()-1,2),"")),"")</f>
        <v/>
      </c>
      <c r="N185" s="15">
        <f t="array" ref="N185">IF(OR(L185="",M185=""),"",IFERROR(INDEX($E$2:$E$391,MATCH(1,($A$2:$A$391=L185)*($D$2:$D$391=M185),0)),""))</f>
        <v/>
      </c>
      <c r="O185" s="69">
        <f>IF(OR(L185="",M185=""),"",SUMIFS($J$2:$J$391,$A$2:$A$391,L185,$D$2:$D$391,M185))</f>
        <v/>
      </c>
      <c r="P185" s="6" t="n"/>
    </row>
    <row r="186">
      <c r="A186" s="44" t="inlineStr">
        <is>
          <t>PL202.1</t>
        </is>
      </c>
      <c r="B186" s="44" t="inlineStr">
        <is>
          <t>Ext. A (Out - Chillroll)</t>
        </is>
      </c>
      <c r="C186" s="43" t="inlineStr">
        <is>
          <t>AB-PLA</t>
        </is>
      </c>
      <c r="D186" s="43">
        <f>IF(C186="","",IFERROR(_xlfn.XLOOKUP(C186,HELPER!$A$2:$A$76,HELPER!$B$2:$B$76,""),D186))</f>
        <v/>
      </c>
      <c r="E186" s="43">
        <f>IFERROR(_xlfn.XLOOKUP(D186,HELPER!$B:$B,HELPER!$C:$C,""),"")</f>
        <v/>
      </c>
      <c r="F186" s="42">
        <f>IFERROR(_xlfn.XLOOKUP(D186,HELPER!$B:$B,HELPER!$D:$D,""),"")</f>
        <v/>
      </c>
      <c r="G186" s="42" t="n">
        <v>24</v>
      </c>
      <c r="H186" s="556" t="n">
        <v>0.015</v>
      </c>
      <c r="I186" s="72">
        <f>IF(AND(H186&lt;&gt;"",IFERROR(_xlfn.XLOOKUP(D186,HELPER!$B:$B,HELPER!$E:$E,""),"")=""),"Missing price",IFERROR(_xlfn.XLOOKUP(D186,HELPER!$B:$B,HELPER!$E:$E,"")," "))</f>
        <v/>
      </c>
      <c r="J186" s="72">
        <f>IFERROR(H186*(IF(G186=8,I186*HELPER!$G$2,BOM!I186*HELPER!$G$3))," ")</f>
        <v/>
      </c>
      <c r="K186" s="6" t="n"/>
      <c r="L186" s="14">
        <f t="array" ref="L186">IFERROR(_xlfn.LET(_xlpm.pairs,_xlfn._xlws.FILTER($A$2:$D$391,($A$2:$A$391&lt;&gt;"")*(TRIM($D$2:$D$391)&lt;&gt;"")),_xlpm.uniquePairs,_xlfn.UNIQUE(_xlfn.HSTACK(INDEX(_xlpm.pairs,,1),INDEX(_xlpm.pairs,,4))),_xlpm.sortedPairs,_xlfn._xlws.SORT(_xlpm.uniquePairs,1,1),IF(ROW()-1&lt;=ROWS(_xlpm.sortedPairs),INDEX(_xlpm.sortedPairs,ROW()-1,1),"")),"")</f>
        <v/>
      </c>
      <c r="M186" s="15">
        <f t="array" ref="M186">IFERROR(_xlfn.LET(_xlpm.pairs,_xlfn._xlws.FILTER($A$2:$D$391,($A$2:$A$391&lt;&gt;"")*(TRIM($D$2:$D$391)&lt;&gt;"")),_xlpm.uniquePairs,_xlfn.UNIQUE(_xlfn.HSTACK(INDEX(_xlpm.pairs,,1),INDEX(_xlpm.pairs,,4))),_xlpm.sortedPairs,_xlfn._xlws.SORT(_xlpm.uniquePairs,1,1),IF(ROW()-1&lt;=ROWS(_xlpm.sortedPairs),INDEX(_xlpm.sortedPairs,ROW()-1,2),"")),"")</f>
        <v/>
      </c>
      <c r="N186" s="15">
        <f t="array" ref="N186">IF(OR(L186="",M186=""),"",IFERROR(INDEX($E$2:$E$391,MATCH(1,($A$2:$A$391=L186)*($D$2:$D$391=M186),0)),""))</f>
        <v/>
      </c>
      <c r="O186" s="69">
        <f>IF(OR(L186="",M186=""),"",SUMIFS($J$2:$J$391,$A$2:$A$391,L186,$D$2:$D$391,M186))</f>
        <v/>
      </c>
      <c r="P186" s="6" t="n"/>
    </row>
    <row r="187">
      <c r="A187" s="44" t="inlineStr">
        <is>
          <t>PL202.1</t>
        </is>
      </c>
      <c r="B187" s="44" t="inlineStr">
        <is>
          <t>Ext. A (Out - Chillroll)</t>
        </is>
      </c>
      <c r="C187" s="43" t="n"/>
      <c r="D187" s="43">
        <f>IF(C187="","",IFERROR(_xlfn.XLOOKUP(C187,HELPER!$A$2:$A$76,HELPER!$B$2:$B$76,""),D187))</f>
        <v/>
      </c>
      <c r="E187" s="43">
        <f>IFERROR(_xlfn.XLOOKUP(D187,HELPER!$B:$B,HELPER!$C:$C,""),"")</f>
        <v/>
      </c>
      <c r="F187" s="42">
        <f>IFERROR(_xlfn.XLOOKUP(D187,HELPER!$B:$B,HELPER!$D:$D,""),"")</f>
        <v/>
      </c>
      <c r="G187" s="42" t="n">
        <v>24</v>
      </c>
      <c r="H187" s="556" t="n"/>
      <c r="I187" s="72">
        <f>IF(AND(H187&lt;&gt;"",IFERROR(_xlfn.XLOOKUP(D187,HELPER!$B:$B,HELPER!$E:$E,""),"")=""),"Missing price",IFERROR(_xlfn.XLOOKUP(D187,HELPER!$B:$B,HELPER!$E:$E,"")," "))</f>
        <v/>
      </c>
      <c r="J187" s="72">
        <f>IFERROR(H187*(IF(G187=8,I187*HELPER!$G$2,BOM!I187*HELPER!$G$3))," ")</f>
        <v/>
      </c>
      <c r="K187" s="6" t="n"/>
      <c r="L187" s="14">
        <f t="array" ref="L187">IFERROR(_xlfn.LET(_xlpm.pairs,_xlfn._xlws.FILTER($A$2:$D$391,($A$2:$A$391&lt;&gt;"")*(TRIM($D$2:$D$391)&lt;&gt;"")),_xlpm.uniquePairs,_xlfn.UNIQUE(_xlfn.HSTACK(INDEX(_xlpm.pairs,,1),INDEX(_xlpm.pairs,,4))),_xlpm.sortedPairs,_xlfn._xlws.SORT(_xlpm.uniquePairs,1,1),IF(ROW()-1&lt;=ROWS(_xlpm.sortedPairs),INDEX(_xlpm.sortedPairs,ROW()-1,1),"")),"")</f>
        <v/>
      </c>
      <c r="M187" s="15">
        <f t="array" ref="M187">IFERROR(_xlfn.LET(_xlpm.pairs,_xlfn._xlws.FILTER($A$2:$D$391,($A$2:$A$391&lt;&gt;"")*(TRIM($D$2:$D$391)&lt;&gt;"")),_xlpm.uniquePairs,_xlfn.UNIQUE(_xlfn.HSTACK(INDEX(_xlpm.pairs,,1),INDEX(_xlpm.pairs,,4))),_xlpm.sortedPairs,_xlfn._xlws.SORT(_xlpm.uniquePairs,1,1),IF(ROW()-1&lt;=ROWS(_xlpm.sortedPairs),INDEX(_xlpm.sortedPairs,ROW()-1,2),"")),"")</f>
        <v/>
      </c>
      <c r="N187" s="15">
        <f t="array" ref="N187">IF(OR(L187="",M187=""),"",IFERROR(INDEX($E$2:$E$391,MATCH(1,($A$2:$A$391=L187)*($D$2:$D$391=M187),0)),""))</f>
        <v/>
      </c>
      <c r="O187" s="69">
        <f>IF(OR(L187="",M187=""),"",SUMIFS($J$2:$J$391,$A$2:$A$391,L187,$D$2:$D$391,M187))</f>
        <v/>
      </c>
      <c r="P187" s="6" t="n"/>
    </row>
    <row r="188">
      <c r="A188" s="44" t="inlineStr">
        <is>
          <t>PL202.1</t>
        </is>
      </c>
      <c r="B188" s="44" t="inlineStr">
        <is>
          <t>Ext. A (Out - Chillroll)</t>
        </is>
      </c>
      <c r="C188" s="43" t="n"/>
      <c r="D188" s="43">
        <f>IF(C188="","",IFERROR(_xlfn.XLOOKUP(C188,HELPER!$A$2:$A$76,HELPER!$B$2:$B$76,""),D188))</f>
        <v/>
      </c>
      <c r="E188" s="43">
        <f>IFERROR(_xlfn.XLOOKUP(D188,HELPER!$B:$B,HELPER!$C:$C,""),"")</f>
        <v/>
      </c>
      <c r="F188" s="42">
        <f>IFERROR(_xlfn.XLOOKUP(D188,HELPER!$B:$B,HELPER!$D:$D,""),"")</f>
        <v/>
      </c>
      <c r="G188" s="42" t="n">
        <v>24</v>
      </c>
      <c r="H188" s="556" t="n"/>
      <c r="I188" s="72">
        <f>IF(AND(H188&lt;&gt;"",IFERROR(_xlfn.XLOOKUP(D188,HELPER!$B:$B,HELPER!$E:$E,""),"")=""),"Missing price",IFERROR(_xlfn.XLOOKUP(D188,HELPER!$B:$B,HELPER!$E:$E,"")," "))</f>
        <v/>
      </c>
      <c r="J188" s="72">
        <f>IFERROR(H188*(IF(G188=8,I188*HELPER!$G$2,BOM!I188*HELPER!$G$3))," ")</f>
        <v/>
      </c>
      <c r="K188" s="6" t="n"/>
      <c r="L188" s="14">
        <f t="array" ref="L188">IFERROR(_xlfn.LET(_xlpm.pairs,_xlfn._xlws.FILTER($A$2:$D$391,($A$2:$A$391&lt;&gt;"")*(TRIM($D$2:$D$391)&lt;&gt;"")),_xlpm.uniquePairs,_xlfn.UNIQUE(_xlfn.HSTACK(INDEX(_xlpm.pairs,,1),INDEX(_xlpm.pairs,,4))),_xlpm.sortedPairs,_xlfn._xlws.SORT(_xlpm.uniquePairs,1,1),IF(ROW()-1&lt;=ROWS(_xlpm.sortedPairs),INDEX(_xlpm.sortedPairs,ROW()-1,1),"")),"")</f>
        <v/>
      </c>
      <c r="M188" s="15">
        <f t="array" ref="M188">IFERROR(_xlfn.LET(_xlpm.pairs,_xlfn._xlws.FILTER($A$2:$D$391,($A$2:$A$391&lt;&gt;"")*(TRIM($D$2:$D$391)&lt;&gt;"")),_xlpm.uniquePairs,_xlfn.UNIQUE(_xlfn.HSTACK(INDEX(_xlpm.pairs,,1),INDEX(_xlpm.pairs,,4))),_xlpm.sortedPairs,_xlfn._xlws.SORT(_xlpm.uniquePairs,1,1),IF(ROW()-1&lt;=ROWS(_xlpm.sortedPairs),INDEX(_xlpm.sortedPairs,ROW()-1,2),"")),"")</f>
        <v/>
      </c>
      <c r="N188" s="15">
        <f t="array" ref="N188">IF(OR(L188="",M188=""),"",IFERROR(INDEX($E$2:$E$391,MATCH(1,($A$2:$A$391=L188)*($D$2:$D$391=M188),0)),""))</f>
        <v/>
      </c>
      <c r="O188" s="69">
        <f>IF(OR(L188="",M188=""),"",SUMIFS($J$2:$J$391,$A$2:$A$391,L188,$D$2:$D$391,M188))</f>
        <v/>
      </c>
      <c r="P188" s="6" t="n"/>
    </row>
    <row r="189">
      <c r="A189" s="44" t="inlineStr">
        <is>
          <t>PL202.1</t>
        </is>
      </c>
      <c r="B189" s="44" t="inlineStr">
        <is>
          <t>Ext. A (Out - Chillroll)</t>
        </is>
      </c>
      <c r="C189" s="43" t="n"/>
      <c r="D189" s="43">
        <f>IF(C189="","",IFERROR(_xlfn.XLOOKUP(C189,HELPER!$A$2:$A$76,HELPER!$B$2:$B$76,""),D189))</f>
        <v/>
      </c>
      <c r="E189" s="43">
        <f>IFERROR(_xlfn.XLOOKUP(D189,HELPER!$B:$B,HELPER!$C:$C,""),"")</f>
        <v/>
      </c>
      <c r="F189" s="42">
        <f>IFERROR(_xlfn.XLOOKUP(D189,HELPER!$B:$B,HELPER!$D:$D,""),"")</f>
        <v/>
      </c>
      <c r="G189" s="42" t="n">
        <v>24</v>
      </c>
      <c r="H189" s="556" t="n"/>
      <c r="I189" s="72">
        <f>IF(AND(H189&lt;&gt;"",IFERROR(_xlfn.XLOOKUP(D189,HELPER!$B:$B,HELPER!$E:$E,""),"")=""),"Missing price",IFERROR(_xlfn.XLOOKUP(D189,HELPER!$B:$B,HELPER!$E:$E,"")," "))</f>
        <v/>
      </c>
      <c r="J189" s="72">
        <f>IFERROR(H189*(IF(G189=8,I189*HELPER!$G$2,BOM!I189*HELPER!$G$3))," ")</f>
        <v/>
      </c>
      <c r="K189" s="6" t="n"/>
      <c r="L189" s="14">
        <f t="array" ref="L189">IFERROR(_xlfn.LET(_xlpm.pairs,_xlfn._xlws.FILTER($A$2:$D$391,($A$2:$A$391&lt;&gt;"")*(TRIM($D$2:$D$391)&lt;&gt;"")),_xlpm.uniquePairs,_xlfn.UNIQUE(_xlfn.HSTACK(INDEX(_xlpm.pairs,,1),INDEX(_xlpm.pairs,,4))),_xlpm.sortedPairs,_xlfn._xlws.SORT(_xlpm.uniquePairs,1,1),IF(ROW()-1&lt;=ROWS(_xlpm.sortedPairs),INDEX(_xlpm.sortedPairs,ROW()-1,1),"")),"")</f>
        <v/>
      </c>
      <c r="M189" s="15">
        <f t="array" ref="M189">IFERROR(_xlfn.LET(_xlpm.pairs,_xlfn._xlws.FILTER($A$2:$D$391,($A$2:$A$391&lt;&gt;"")*(TRIM($D$2:$D$391)&lt;&gt;"")),_xlpm.uniquePairs,_xlfn.UNIQUE(_xlfn.HSTACK(INDEX(_xlpm.pairs,,1),INDEX(_xlpm.pairs,,4))),_xlpm.sortedPairs,_xlfn._xlws.SORT(_xlpm.uniquePairs,1,1),IF(ROW()-1&lt;=ROWS(_xlpm.sortedPairs),INDEX(_xlpm.sortedPairs,ROW()-1,2),"")),"")</f>
        <v/>
      </c>
      <c r="N189" s="15">
        <f t="array" ref="N189">IF(OR(L189="",M189=""),"",IFERROR(INDEX($E$2:$E$391,MATCH(1,($A$2:$A$391=L189)*($D$2:$D$391=M189),0)),""))</f>
        <v/>
      </c>
      <c r="O189" s="69">
        <f>IF(OR(L189="",M189=""),"",SUMIFS($J$2:$J$391,$A$2:$A$391,L189,$D$2:$D$391,M189))</f>
        <v/>
      </c>
      <c r="P189" s="6" t="n"/>
    </row>
    <row r="190">
      <c r="A190" s="44" t="inlineStr">
        <is>
          <t>PL202.1</t>
        </is>
      </c>
      <c r="B190" s="44" t="inlineStr">
        <is>
          <t>Ext. A (Out - Chillroll)</t>
        </is>
      </c>
      <c r="C190" s="43" t="n"/>
      <c r="D190" s="43">
        <f>IF(C190="","",IFERROR(_xlfn.XLOOKUP(C190,HELPER!$A$2:$A$76,HELPER!$B$2:$B$76,""),D190))</f>
        <v/>
      </c>
      <c r="E190" s="43">
        <f>IFERROR(_xlfn.XLOOKUP(D190,HELPER!$B:$B,HELPER!$C:$C,""),"")</f>
        <v/>
      </c>
      <c r="F190" s="42">
        <f>IFERROR(_xlfn.XLOOKUP(D190,HELPER!$B:$B,HELPER!$D:$D,""),"")</f>
        <v/>
      </c>
      <c r="G190" s="42" t="n">
        <v>24</v>
      </c>
      <c r="H190" s="556" t="n"/>
      <c r="I190" s="72">
        <f>IF(AND(H190&lt;&gt;"",IFERROR(_xlfn.XLOOKUP(D190,HELPER!$B:$B,HELPER!$E:$E,""),"")=""),"Missing price",IFERROR(_xlfn.XLOOKUP(D190,HELPER!$B:$B,HELPER!$E:$E,"")," "))</f>
        <v/>
      </c>
      <c r="J190" s="72">
        <f>IFERROR(H190*(IF(G190=8,I190*HELPER!$G$2,BOM!I190*HELPER!$G$3))," ")</f>
        <v/>
      </c>
      <c r="K190" s="6" t="n"/>
      <c r="L190" s="14">
        <f t="array" ref="L190">IFERROR(_xlfn.LET(_xlpm.pairs,_xlfn._xlws.FILTER($A$2:$D$391,($A$2:$A$391&lt;&gt;"")*(TRIM($D$2:$D$391)&lt;&gt;"")),_xlpm.uniquePairs,_xlfn.UNIQUE(_xlfn.HSTACK(INDEX(_xlpm.pairs,,1),INDEX(_xlpm.pairs,,4))),_xlpm.sortedPairs,_xlfn._xlws.SORT(_xlpm.uniquePairs,1,1),IF(ROW()-1&lt;=ROWS(_xlpm.sortedPairs),INDEX(_xlpm.sortedPairs,ROW()-1,1),"")),"")</f>
        <v/>
      </c>
      <c r="M190" s="15">
        <f t="array" ref="M190">IFERROR(_xlfn.LET(_xlpm.pairs,_xlfn._xlws.FILTER($A$2:$D$391,($A$2:$A$391&lt;&gt;"")*(TRIM($D$2:$D$391)&lt;&gt;"")),_xlpm.uniquePairs,_xlfn.UNIQUE(_xlfn.HSTACK(INDEX(_xlpm.pairs,,1),INDEX(_xlpm.pairs,,4))),_xlpm.sortedPairs,_xlfn._xlws.SORT(_xlpm.uniquePairs,1,1),IF(ROW()-1&lt;=ROWS(_xlpm.sortedPairs),INDEX(_xlpm.sortedPairs,ROW()-1,2),"")),"")</f>
        <v/>
      </c>
      <c r="N190" s="15">
        <f t="array" ref="N190">IF(OR(L190="",M190=""),"",IFERROR(INDEX($E$2:$E$391,MATCH(1,($A$2:$A$391=L190)*($D$2:$D$391=M190),0)),""))</f>
        <v/>
      </c>
      <c r="O190" s="69">
        <f>IF(OR(L190="",M190=""),"",SUMIFS($J$2:$J$391,$A$2:$A$391,L190,$D$2:$D$391,M190))</f>
        <v/>
      </c>
      <c r="P190" s="6" t="n"/>
    </row>
    <row r="191">
      <c r="A191" s="44" t="inlineStr">
        <is>
          <t>PL202.1</t>
        </is>
      </c>
      <c r="B191" s="44" t="inlineStr">
        <is>
          <t>Ext. A (Out - Chillroll)</t>
        </is>
      </c>
      <c r="C191" s="43" t="n"/>
      <c r="D191" s="43">
        <f>IF(C191="","",IFERROR(_xlfn.XLOOKUP(C191,HELPER!$A$2:$A$76,HELPER!$B$2:$B$76,""),D191))</f>
        <v/>
      </c>
      <c r="E191" s="43">
        <f>IFERROR(_xlfn.XLOOKUP(D191,HELPER!$B:$B,HELPER!$C:$C,""),"")</f>
        <v/>
      </c>
      <c r="F191" s="42">
        <f>IFERROR(_xlfn.XLOOKUP(D191,HELPER!$B:$B,HELPER!$D:$D,""),"")</f>
        <v/>
      </c>
      <c r="G191" s="42" t="n">
        <v>24</v>
      </c>
      <c r="H191" s="556" t="n"/>
      <c r="I191" s="72">
        <f>IF(AND(H191&lt;&gt;"",IFERROR(_xlfn.XLOOKUP(D191,HELPER!$B:$B,HELPER!$E:$E,""),"")=""),"Missing price",IFERROR(_xlfn.XLOOKUP(D191,HELPER!$B:$B,HELPER!$E:$E,"")," "))</f>
        <v/>
      </c>
      <c r="J191" s="72">
        <f>IFERROR(H191*(IF(G191=8,I191*HELPER!$G$2,BOM!I191*HELPER!$G$3))," ")</f>
        <v/>
      </c>
      <c r="K191" s="6" t="n"/>
      <c r="L191" s="14">
        <f t="array" ref="L191">IFERROR(_xlfn.LET(_xlpm.pairs,_xlfn._xlws.FILTER($A$2:$D$391,($A$2:$A$391&lt;&gt;"")*(TRIM($D$2:$D$391)&lt;&gt;"")),_xlpm.uniquePairs,_xlfn.UNIQUE(_xlfn.HSTACK(INDEX(_xlpm.pairs,,1),INDEX(_xlpm.pairs,,4))),_xlpm.sortedPairs,_xlfn._xlws.SORT(_xlpm.uniquePairs,1,1),IF(ROW()-1&lt;=ROWS(_xlpm.sortedPairs),INDEX(_xlpm.sortedPairs,ROW()-1,1),"")),"")</f>
        <v/>
      </c>
      <c r="M191" s="15">
        <f t="array" ref="M191">IFERROR(_xlfn.LET(_xlpm.pairs,_xlfn._xlws.FILTER($A$2:$D$391,($A$2:$A$391&lt;&gt;"")*(TRIM($D$2:$D$391)&lt;&gt;"")),_xlpm.uniquePairs,_xlfn.UNIQUE(_xlfn.HSTACK(INDEX(_xlpm.pairs,,1),INDEX(_xlpm.pairs,,4))),_xlpm.sortedPairs,_xlfn._xlws.SORT(_xlpm.uniquePairs,1,1),IF(ROW()-1&lt;=ROWS(_xlpm.sortedPairs),INDEX(_xlpm.sortedPairs,ROW()-1,2),"")),"")</f>
        <v/>
      </c>
      <c r="N191" s="15">
        <f t="array" ref="N191">IF(OR(L191="",M191=""),"",IFERROR(INDEX($E$2:$E$391,MATCH(1,($A$2:$A$391=L191)*($D$2:$D$391=M191),0)),""))</f>
        <v/>
      </c>
      <c r="O191" s="69">
        <f>IF(OR(L191="",M191=""),"",SUMIFS($J$2:$J$391,$A$2:$A$391,L191,$D$2:$D$391,M191))</f>
        <v/>
      </c>
      <c r="P191" s="6" t="n"/>
    </row>
    <row r="192">
      <c r="A192" s="44" t="inlineStr">
        <is>
          <t>PL202.1</t>
        </is>
      </c>
      <c r="B192" s="44" t="inlineStr">
        <is>
          <t xml:space="preserve">Ext. B </t>
        </is>
      </c>
      <c r="C192" s="43" t="inlineStr">
        <is>
          <t>PVOH</t>
        </is>
      </c>
      <c r="D192" s="43">
        <f>IF(C192="","",IFERROR(_xlfn.XLOOKUP(C192,HELPER!$A$2:$A$76,HELPER!$B$2:$B$76,""),D192))</f>
        <v/>
      </c>
      <c r="E192" s="43">
        <f>IFERROR(_xlfn.XLOOKUP(D192,HELPER!$B:$B,HELPER!$C:$C,""),"")</f>
        <v/>
      </c>
      <c r="F192" s="42">
        <f>IFERROR(_xlfn.XLOOKUP(D192,HELPER!$B:$B,HELPER!$D:$D,""),"")</f>
        <v/>
      </c>
      <c r="G192" s="42" t="n">
        <v>8</v>
      </c>
      <c r="H192" s="556" t="n">
        <v>0.98</v>
      </c>
      <c r="I192" s="72">
        <f>IF(AND(H192&lt;&gt;"",IFERROR(_xlfn.XLOOKUP(D192,HELPER!$B:$B,HELPER!$E:$E,""),"")=""),"Missing price",IFERROR(_xlfn.XLOOKUP(D192,HELPER!$B:$B,HELPER!$E:$E,"")," "))</f>
        <v/>
      </c>
      <c r="J192" s="72">
        <f>IFERROR(H192*(IF(G192=8,I192*HELPER!$G$2,BOM!I192*HELPER!$G$3))," ")</f>
        <v/>
      </c>
      <c r="K192" s="6" t="n"/>
      <c r="L192" s="14">
        <f t="array" ref="L192">IFERROR(_xlfn.LET(_xlpm.pairs,_xlfn._xlws.FILTER($A$2:$D$391,($A$2:$A$391&lt;&gt;"")*(TRIM($D$2:$D$391)&lt;&gt;"")),_xlpm.uniquePairs,_xlfn.UNIQUE(_xlfn.HSTACK(INDEX(_xlpm.pairs,,1),INDEX(_xlpm.pairs,,4))),_xlpm.sortedPairs,_xlfn._xlws.SORT(_xlpm.uniquePairs,1,1),IF(ROW()-1&lt;=ROWS(_xlpm.sortedPairs),INDEX(_xlpm.sortedPairs,ROW()-1,1),"")),"")</f>
        <v/>
      </c>
      <c r="M192" s="15">
        <f t="array" ref="M192">IFERROR(_xlfn.LET(_xlpm.pairs,_xlfn._xlws.FILTER($A$2:$D$391,($A$2:$A$391&lt;&gt;"")*(TRIM($D$2:$D$391)&lt;&gt;"")),_xlpm.uniquePairs,_xlfn.UNIQUE(_xlfn.HSTACK(INDEX(_xlpm.pairs,,1),INDEX(_xlpm.pairs,,4))),_xlpm.sortedPairs,_xlfn._xlws.SORT(_xlpm.uniquePairs,1,1),IF(ROW()-1&lt;=ROWS(_xlpm.sortedPairs),INDEX(_xlpm.sortedPairs,ROW()-1,2),"")),"")</f>
        <v/>
      </c>
      <c r="N192" s="15">
        <f t="array" ref="N192">IF(OR(L192="",M192=""),"",IFERROR(INDEX($E$2:$E$391,MATCH(1,($A$2:$A$391=L192)*($D$2:$D$391=M192),0)),""))</f>
        <v/>
      </c>
      <c r="O192" s="69">
        <f>IF(OR(L192="",M192=""),"",SUMIFS($J$2:$J$391,$A$2:$A$391,L192,$D$2:$D$391,M192))</f>
        <v/>
      </c>
      <c r="P192" s="6" t="n"/>
    </row>
    <row r="193">
      <c r="A193" s="44" t="inlineStr">
        <is>
          <t>PL202.1</t>
        </is>
      </c>
      <c r="B193" s="44" t="inlineStr">
        <is>
          <t xml:space="preserve">Ext. B </t>
        </is>
      </c>
      <c r="C193" s="43" t="inlineStr">
        <is>
          <t>AO-PBS</t>
        </is>
      </c>
      <c r="D193" s="43">
        <f>IF(C193="","",IFERROR(_xlfn.XLOOKUP(C193,HELPER!$A$2:$A$76,HELPER!$B$2:$B$76,""),D193))</f>
        <v/>
      </c>
      <c r="E193" s="43">
        <f>IFERROR(_xlfn.XLOOKUP(D193,HELPER!$B:$B,HELPER!$C:$C,""),"")</f>
        <v/>
      </c>
      <c r="F193" s="42">
        <f>IFERROR(_xlfn.XLOOKUP(D193,HELPER!$B:$B,HELPER!$D:$D,""),"")</f>
        <v/>
      </c>
      <c r="G193" s="42" t="n">
        <v>8</v>
      </c>
      <c r="H193" s="556" t="n">
        <v>0.02</v>
      </c>
      <c r="I193" s="72">
        <f>IF(AND(H193&lt;&gt;"",IFERROR(_xlfn.XLOOKUP(D193,HELPER!$B:$B,HELPER!$E:$E,""),"")=""),"Missing price",IFERROR(_xlfn.XLOOKUP(D193,HELPER!$B:$B,HELPER!$E:$E,"")," "))</f>
        <v/>
      </c>
      <c r="J193" s="72">
        <f>IFERROR(H193*(IF(G193=8,I193*HELPER!$G$2,BOM!I193*HELPER!$G$3))," ")</f>
        <v/>
      </c>
      <c r="K193" s="6" t="n"/>
      <c r="L193" s="14">
        <f t="array" ref="L193">IFERROR(_xlfn.LET(_xlpm.pairs,_xlfn._xlws.FILTER($A$2:$D$391,($A$2:$A$391&lt;&gt;"")*(TRIM($D$2:$D$391)&lt;&gt;"")),_xlpm.uniquePairs,_xlfn.UNIQUE(_xlfn.HSTACK(INDEX(_xlpm.pairs,,1),INDEX(_xlpm.pairs,,4))),_xlpm.sortedPairs,_xlfn._xlws.SORT(_xlpm.uniquePairs,1,1),IF(ROW()-1&lt;=ROWS(_xlpm.sortedPairs),INDEX(_xlpm.sortedPairs,ROW()-1,1),"")),"")</f>
        <v/>
      </c>
      <c r="M193" s="15">
        <f t="array" ref="M193">IFERROR(_xlfn.LET(_xlpm.pairs,_xlfn._xlws.FILTER($A$2:$D$391,($A$2:$A$391&lt;&gt;"")*(TRIM($D$2:$D$391)&lt;&gt;"")),_xlpm.uniquePairs,_xlfn.UNIQUE(_xlfn.HSTACK(INDEX(_xlpm.pairs,,1),INDEX(_xlpm.pairs,,4))),_xlpm.sortedPairs,_xlfn._xlws.SORT(_xlpm.uniquePairs,1,1),IF(ROW()-1&lt;=ROWS(_xlpm.sortedPairs),INDEX(_xlpm.sortedPairs,ROW()-1,2),"")),"")</f>
        <v/>
      </c>
      <c r="N193" s="15">
        <f t="array" ref="N193">IF(OR(L193="",M193=""),"",IFERROR(INDEX($E$2:$E$391,MATCH(1,($A$2:$A$391=L193)*($D$2:$D$391=M193),0)),""))</f>
        <v/>
      </c>
      <c r="O193" s="69">
        <f>IF(OR(L193="",M193=""),"",SUMIFS($J$2:$J$391,$A$2:$A$391,L193,$D$2:$D$391,M193))</f>
        <v/>
      </c>
      <c r="P193" s="6" t="n"/>
    </row>
    <row r="194">
      <c r="A194" s="44" t="inlineStr">
        <is>
          <t>PL202.1</t>
        </is>
      </c>
      <c r="B194" s="44" t="inlineStr">
        <is>
          <t xml:space="preserve">Ext. B </t>
        </is>
      </c>
      <c r="C194" s="43" t="n"/>
      <c r="D194" s="43">
        <f>IF(C194="","",IFERROR(_xlfn.XLOOKUP(C194,HELPER!$A$2:$A$76,HELPER!$B$2:$B$76,""),D194))</f>
        <v/>
      </c>
      <c r="E194" s="43">
        <f>IFERROR(_xlfn.XLOOKUP(D194,HELPER!$B:$B,HELPER!$C:$C,""),"")</f>
        <v/>
      </c>
      <c r="F194" s="42">
        <f>IFERROR(_xlfn.XLOOKUP(D194,HELPER!$B:$B,HELPER!$D:$D,""),"")</f>
        <v/>
      </c>
      <c r="G194" s="42" t="n">
        <v>8</v>
      </c>
      <c r="H194" s="556" t="n"/>
      <c r="I194" s="72">
        <f>IF(AND(H194&lt;&gt;"",IFERROR(_xlfn.XLOOKUP(D194,HELPER!$B:$B,HELPER!$E:$E,""),"")=""),"Missing price",IFERROR(_xlfn.XLOOKUP(D194,HELPER!$B:$B,HELPER!$E:$E,"")," "))</f>
        <v/>
      </c>
      <c r="J194" s="72">
        <f>IFERROR(H194*(IF(G194=8,I194*HELPER!$G$2,BOM!I194*HELPER!$G$3))," ")</f>
        <v/>
      </c>
      <c r="K194" s="6" t="n"/>
      <c r="L194" s="14">
        <f t="array" ref="L194">IFERROR(_xlfn.LET(_xlpm.pairs,_xlfn._xlws.FILTER($A$2:$D$391,($A$2:$A$391&lt;&gt;"")*(TRIM($D$2:$D$391)&lt;&gt;"")),_xlpm.uniquePairs,_xlfn.UNIQUE(_xlfn.HSTACK(INDEX(_xlpm.pairs,,1),INDEX(_xlpm.pairs,,4))),_xlpm.sortedPairs,_xlfn._xlws.SORT(_xlpm.uniquePairs,1,1),IF(ROW()-1&lt;=ROWS(_xlpm.sortedPairs),INDEX(_xlpm.sortedPairs,ROW()-1,1),"")),"")</f>
        <v/>
      </c>
      <c r="M194" s="15">
        <f t="array" ref="M194">IFERROR(_xlfn.LET(_xlpm.pairs,_xlfn._xlws.FILTER($A$2:$D$391,($A$2:$A$391&lt;&gt;"")*(TRIM($D$2:$D$391)&lt;&gt;"")),_xlpm.uniquePairs,_xlfn.UNIQUE(_xlfn.HSTACK(INDEX(_xlpm.pairs,,1),INDEX(_xlpm.pairs,,4))),_xlpm.sortedPairs,_xlfn._xlws.SORT(_xlpm.uniquePairs,1,1),IF(ROW()-1&lt;=ROWS(_xlpm.sortedPairs),INDEX(_xlpm.sortedPairs,ROW()-1,2),"")),"")</f>
        <v/>
      </c>
      <c r="N194" s="15">
        <f t="array" ref="N194">IF(OR(L194="",M194=""),"",IFERROR(INDEX($E$2:$E$391,MATCH(1,($A$2:$A$391=L194)*($D$2:$D$391=M194),0)),""))</f>
        <v/>
      </c>
      <c r="O194" s="69">
        <f>IF(OR(L194="",M194=""),"",SUMIFS($J$2:$J$391,$A$2:$A$391,L194,$D$2:$D$391,M194))</f>
        <v/>
      </c>
      <c r="P194" s="6" t="n"/>
    </row>
    <row r="195">
      <c r="A195" s="44" t="inlineStr">
        <is>
          <t>PL202.1</t>
        </is>
      </c>
      <c r="B195" s="44" t="inlineStr">
        <is>
          <t xml:space="preserve">Ext. B </t>
        </is>
      </c>
      <c r="C195" s="43" t="n"/>
      <c r="D195" s="43">
        <f>IF(C195="","",IFERROR(_xlfn.XLOOKUP(C195,HELPER!$A$2:$A$76,HELPER!$B$2:$B$76,""),D195))</f>
        <v/>
      </c>
      <c r="E195" s="43">
        <f>IFERROR(_xlfn.XLOOKUP(D195,HELPER!$B:$B,HELPER!$C:$C,""),"")</f>
        <v/>
      </c>
      <c r="F195" s="42">
        <f>IFERROR(_xlfn.XLOOKUP(D195,HELPER!$B:$B,HELPER!$D:$D,""),"")</f>
        <v/>
      </c>
      <c r="G195" s="42" t="n">
        <v>8</v>
      </c>
      <c r="H195" s="556" t="n"/>
      <c r="I195" s="72">
        <f>IF(AND(H195&lt;&gt;"",IFERROR(_xlfn.XLOOKUP(D195,HELPER!$B:$B,HELPER!$E:$E,""),"")=""),"Missing price",IFERROR(_xlfn.XLOOKUP(D195,HELPER!$B:$B,HELPER!$E:$E,"")," "))</f>
        <v/>
      </c>
      <c r="J195" s="72">
        <f>IFERROR(H195*(IF(G195=8,I195*HELPER!$G$2,BOM!I195*HELPER!$G$3))," ")</f>
        <v/>
      </c>
      <c r="K195" s="6" t="n"/>
      <c r="L195" s="14">
        <f t="array" ref="L195">IFERROR(_xlfn.LET(_xlpm.pairs,_xlfn._xlws.FILTER($A$2:$D$391,($A$2:$A$391&lt;&gt;"")*(TRIM($D$2:$D$391)&lt;&gt;"")),_xlpm.uniquePairs,_xlfn.UNIQUE(_xlfn.HSTACK(INDEX(_xlpm.pairs,,1),INDEX(_xlpm.pairs,,4))),_xlpm.sortedPairs,_xlfn._xlws.SORT(_xlpm.uniquePairs,1,1),IF(ROW()-1&lt;=ROWS(_xlpm.sortedPairs),INDEX(_xlpm.sortedPairs,ROW()-1,1),"")),"")</f>
        <v/>
      </c>
      <c r="M195" s="15">
        <f t="array" ref="M195">IFERROR(_xlfn.LET(_xlpm.pairs,_xlfn._xlws.FILTER($A$2:$D$391,($A$2:$A$391&lt;&gt;"")*(TRIM($D$2:$D$391)&lt;&gt;"")),_xlpm.uniquePairs,_xlfn.UNIQUE(_xlfn.HSTACK(INDEX(_xlpm.pairs,,1),INDEX(_xlpm.pairs,,4))),_xlpm.sortedPairs,_xlfn._xlws.SORT(_xlpm.uniquePairs,1,1),IF(ROW()-1&lt;=ROWS(_xlpm.sortedPairs),INDEX(_xlpm.sortedPairs,ROW()-1,2),"")),"")</f>
        <v/>
      </c>
      <c r="N195" s="15">
        <f t="array" ref="N195">IF(OR(L195="",M195=""),"",IFERROR(INDEX($E$2:$E$391,MATCH(1,($A$2:$A$391=L195)*($D$2:$D$391=M195),0)),""))</f>
        <v/>
      </c>
      <c r="O195" s="69">
        <f>IF(OR(L195="",M195=""),"",SUMIFS($J$2:$J$391,$A$2:$A$391,L195,$D$2:$D$391,M195))</f>
        <v/>
      </c>
      <c r="P195" s="6" t="n"/>
    </row>
    <row r="196">
      <c r="A196" s="44" t="inlineStr">
        <is>
          <t>PL202.1</t>
        </is>
      </c>
      <c r="B196" s="44" t="inlineStr">
        <is>
          <t xml:space="preserve">Ext. B </t>
        </is>
      </c>
      <c r="C196" s="43" t="n"/>
      <c r="D196" s="43">
        <f>IF(C196="","",IFERROR(_xlfn.XLOOKUP(C196,HELPER!$A$2:$A$76,HELPER!$B$2:$B$76,""),D196))</f>
        <v/>
      </c>
      <c r="E196" s="43">
        <f>IFERROR(_xlfn.XLOOKUP(D196,HELPER!$B:$B,HELPER!$C:$C,""),"")</f>
        <v/>
      </c>
      <c r="F196" s="42">
        <f>IFERROR(_xlfn.XLOOKUP(D196,HELPER!$B:$B,HELPER!$D:$D,""),"")</f>
        <v/>
      </c>
      <c r="G196" s="42" t="n">
        <v>8</v>
      </c>
      <c r="H196" s="556" t="n"/>
      <c r="I196" s="72">
        <f>IF(AND(H196&lt;&gt;"",IFERROR(_xlfn.XLOOKUP(D196,HELPER!$B:$B,HELPER!$E:$E,""),"")=""),"Missing price",IFERROR(_xlfn.XLOOKUP(D196,HELPER!$B:$B,HELPER!$E:$E,"")," "))</f>
        <v/>
      </c>
      <c r="J196" s="72">
        <f>IFERROR(H196*(IF(G196=8,I196*HELPER!$G$2,BOM!I196*HELPER!$G$3))," ")</f>
        <v/>
      </c>
      <c r="K196" s="6" t="n"/>
      <c r="L196" s="14">
        <f t="array" ref="L196">IFERROR(_xlfn.LET(_xlpm.pairs,_xlfn._xlws.FILTER($A$2:$D$391,($A$2:$A$391&lt;&gt;"")*(TRIM($D$2:$D$391)&lt;&gt;"")),_xlpm.uniquePairs,_xlfn.UNIQUE(_xlfn.HSTACK(INDEX(_xlpm.pairs,,1),INDEX(_xlpm.pairs,,4))),_xlpm.sortedPairs,_xlfn._xlws.SORT(_xlpm.uniquePairs,1,1),IF(ROW()-1&lt;=ROWS(_xlpm.sortedPairs),INDEX(_xlpm.sortedPairs,ROW()-1,1),"")),"")</f>
        <v/>
      </c>
      <c r="M196" s="15">
        <f t="array" ref="M196">IFERROR(_xlfn.LET(_xlpm.pairs,_xlfn._xlws.FILTER($A$2:$D$391,($A$2:$A$391&lt;&gt;"")*(TRIM($D$2:$D$391)&lt;&gt;"")),_xlpm.uniquePairs,_xlfn.UNIQUE(_xlfn.HSTACK(INDEX(_xlpm.pairs,,1),INDEX(_xlpm.pairs,,4))),_xlpm.sortedPairs,_xlfn._xlws.SORT(_xlpm.uniquePairs,1,1),IF(ROW()-1&lt;=ROWS(_xlpm.sortedPairs),INDEX(_xlpm.sortedPairs,ROW()-1,2),"")),"")</f>
        <v/>
      </c>
      <c r="N196" s="15">
        <f t="array" ref="N196">IF(OR(L196="",M196=""),"",IFERROR(INDEX($E$2:$E$391,MATCH(1,($A$2:$A$391=L196)*($D$2:$D$391=M196),0)),""))</f>
        <v/>
      </c>
      <c r="O196" s="69">
        <f>IF(OR(L196="",M196=""),"",SUMIFS($J$2:$J$391,$A$2:$A$391,L196,$D$2:$D$391,M196))</f>
        <v/>
      </c>
      <c r="P196" s="6" t="n"/>
    </row>
    <row r="197">
      <c r="A197" s="44" t="inlineStr">
        <is>
          <t>PL202.1</t>
        </is>
      </c>
      <c r="B197" s="44" t="inlineStr">
        <is>
          <t xml:space="preserve">Ext. B </t>
        </is>
      </c>
      <c r="C197" s="43" t="n"/>
      <c r="D197" s="43">
        <f>IF(C197="","",IFERROR(_xlfn.XLOOKUP(C197,HELPER!$A$2:$A$76,HELPER!$B$2:$B$76,""),D197))</f>
        <v/>
      </c>
      <c r="E197" s="43">
        <f>IFERROR(_xlfn.XLOOKUP(D197,HELPER!$B:$B,HELPER!$C:$C,""),"")</f>
        <v/>
      </c>
      <c r="F197" s="42">
        <f>IFERROR(_xlfn.XLOOKUP(D197,HELPER!$B:$B,HELPER!$D:$D,""),"")</f>
        <v/>
      </c>
      <c r="G197" s="42" t="n">
        <v>8</v>
      </c>
      <c r="H197" s="556" t="n"/>
      <c r="I197" s="72">
        <f>IF(AND(H197&lt;&gt;"",IFERROR(_xlfn.XLOOKUP(D197,HELPER!$B:$B,HELPER!$E:$E,""),"")=""),"Missing price",IFERROR(_xlfn.XLOOKUP(D197,HELPER!$B:$B,HELPER!$E:$E,"")," "))</f>
        <v/>
      </c>
      <c r="J197" s="72">
        <f>IFERROR(H197*(IF(G197=8,I197*HELPER!$G$2,BOM!I197*HELPER!$G$3))," ")</f>
        <v/>
      </c>
      <c r="K197" s="6" t="n"/>
      <c r="L197" s="14">
        <f t="array" ref="L197">IFERROR(_xlfn.LET(_xlpm.pairs,_xlfn._xlws.FILTER($A$2:$D$391,($A$2:$A$391&lt;&gt;"")*(TRIM($D$2:$D$391)&lt;&gt;"")),_xlpm.uniquePairs,_xlfn.UNIQUE(_xlfn.HSTACK(INDEX(_xlpm.pairs,,1),INDEX(_xlpm.pairs,,4))),_xlpm.sortedPairs,_xlfn._xlws.SORT(_xlpm.uniquePairs,1,1),IF(ROW()-1&lt;=ROWS(_xlpm.sortedPairs),INDEX(_xlpm.sortedPairs,ROW()-1,1),"")),"")</f>
        <v/>
      </c>
      <c r="M197" s="15">
        <f t="array" ref="M197">IFERROR(_xlfn.LET(_xlpm.pairs,_xlfn._xlws.FILTER($A$2:$D$391,($A$2:$A$391&lt;&gt;"")*(TRIM($D$2:$D$391)&lt;&gt;"")),_xlpm.uniquePairs,_xlfn.UNIQUE(_xlfn.HSTACK(INDEX(_xlpm.pairs,,1),INDEX(_xlpm.pairs,,4))),_xlpm.sortedPairs,_xlfn._xlws.SORT(_xlpm.uniquePairs,1,1),IF(ROW()-1&lt;=ROWS(_xlpm.sortedPairs),INDEX(_xlpm.sortedPairs,ROW()-1,2),"")),"")</f>
        <v/>
      </c>
      <c r="N197" s="15">
        <f t="array" ref="N197">IF(OR(L197="",M197=""),"",IFERROR(INDEX($E$2:$E$391,MATCH(1,($A$2:$A$391=L197)*($D$2:$D$391=M197),0)),""))</f>
        <v/>
      </c>
      <c r="O197" s="69">
        <f>IF(OR(L197="",M197=""),"",SUMIFS($J$2:$J$391,$A$2:$A$391,L197,$D$2:$D$391,M197))</f>
        <v/>
      </c>
      <c r="P197" s="6" t="n"/>
    </row>
    <row r="198">
      <c r="A198" s="44" t="inlineStr">
        <is>
          <t>PL202.1</t>
        </is>
      </c>
      <c r="B198" s="44" t="inlineStr">
        <is>
          <t xml:space="preserve">Ext. B </t>
        </is>
      </c>
      <c r="C198" s="43" t="n"/>
      <c r="D198" s="43">
        <f>IF(C198="","",IFERROR(_xlfn.XLOOKUP(C198,HELPER!$A$2:$A$76,HELPER!$B$2:$B$76,""),D198))</f>
        <v/>
      </c>
      <c r="E198" s="43">
        <f>IFERROR(_xlfn.XLOOKUP(D198,HELPER!$B:$B,HELPER!$C:$C,""),"")</f>
        <v/>
      </c>
      <c r="F198" s="42">
        <f>IFERROR(_xlfn.XLOOKUP(D198,HELPER!$B:$B,HELPER!$D:$D,""),"")</f>
        <v/>
      </c>
      <c r="G198" s="42" t="n">
        <v>8</v>
      </c>
      <c r="H198" s="556" t="n"/>
      <c r="I198" s="72">
        <f>IF(AND(H198&lt;&gt;"",IFERROR(_xlfn.XLOOKUP(D198,HELPER!$B:$B,HELPER!$E:$E,""),"")=""),"Missing price",IFERROR(_xlfn.XLOOKUP(D198,HELPER!$B:$B,HELPER!$E:$E,"")," "))</f>
        <v/>
      </c>
      <c r="J198" s="72">
        <f>IFERROR(H198*(IF(G198=8,I198*HELPER!$G$2,BOM!I198*HELPER!$G$3))," ")</f>
        <v/>
      </c>
      <c r="K198" s="6" t="n"/>
      <c r="L198" s="14">
        <f t="array" ref="L198">IFERROR(_xlfn.LET(_xlpm.pairs,_xlfn._xlws.FILTER($A$2:$D$391,($A$2:$A$391&lt;&gt;"")*(TRIM($D$2:$D$391)&lt;&gt;"")),_xlpm.uniquePairs,_xlfn.UNIQUE(_xlfn.HSTACK(INDEX(_xlpm.pairs,,1),INDEX(_xlpm.pairs,,4))),_xlpm.sortedPairs,_xlfn._xlws.SORT(_xlpm.uniquePairs,1,1),IF(ROW()-1&lt;=ROWS(_xlpm.sortedPairs),INDEX(_xlpm.sortedPairs,ROW()-1,1),"")),"")</f>
        <v/>
      </c>
      <c r="M198" s="15">
        <f t="array" ref="M198">IFERROR(_xlfn.LET(_xlpm.pairs,_xlfn._xlws.FILTER($A$2:$D$391,($A$2:$A$391&lt;&gt;"")*(TRIM($D$2:$D$391)&lt;&gt;"")),_xlpm.uniquePairs,_xlfn.UNIQUE(_xlfn.HSTACK(INDEX(_xlpm.pairs,,1),INDEX(_xlpm.pairs,,4))),_xlpm.sortedPairs,_xlfn._xlws.SORT(_xlpm.uniquePairs,1,1),IF(ROW()-1&lt;=ROWS(_xlpm.sortedPairs),INDEX(_xlpm.sortedPairs,ROW()-1,2),"")),"")</f>
        <v/>
      </c>
      <c r="N198" s="15">
        <f t="array" ref="N198">IF(OR(L198="",M198=""),"",IFERROR(INDEX($E$2:$E$391,MATCH(1,($A$2:$A$391=L198)*($D$2:$D$391=M198),0)),""))</f>
        <v/>
      </c>
      <c r="O198" s="69">
        <f>IF(OR(L198="",M198=""),"",SUMIFS($J$2:$J$391,$A$2:$A$391,L198,$D$2:$D$391,M198))</f>
        <v/>
      </c>
      <c r="P198" s="6" t="n"/>
    </row>
    <row r="199">
      <c r="A199" s="44" t="inlineStr">
        <is>
          <t>PL202.1</t>
        </is>
      </c>
      <c r="B199" s="44" t="inlineStr">
        <is>
          <t xml:space="preserve">Ext. B </t>
        </is>
      </c>
      <c r="C199" s="43" t="n"/>
      <c r="D199" s="43">
        <f>IF(C199="","",IFERROR(_xlfn.XLOOKUP(C199,HELPER!$A$2:$A$76,HELPER!$B$2:$B$76,""),D199))</f>
        <v/>
      </c>
      <c r="E199" s="43">
        <f>IFERROR(_xlfn.XLOOKUP(D199,HELPER!$B:$B,HELPER!$C:$C,""),"")</f>
        <v/>
      </c>
      <c r="F199" s="42">
        <f>IFERROR(_xlfn.XLOOKUP(D199,HELPER!$B:$B,HELPER!$D:$D,""),"")</f>
        <v/>
      </c>
      <c r="G199" s="42" t="n">
        <v>8</v>
      </c>
      <c r="H199" s="556" t="n"/>
      <c r="I199" s="72">
        <f>IF(AND(H199&lt;&gt;"",IFERROR(_xlfn.XLOOKUP(D199,HELPER!$B:$B,HELPER!$E:$E,""),"")=""),"Missing price",IFERROR(_xlfn.XLOOKUP(D199,HELPER!$B:$B,HELPER!$E:$E,"")," "))</f>
        <v/>
      </c>
      <c r="J199" s="72">
        <f>IFERROR(H199*(IF(G199=8,I199*HELPER!$G$2,BOM!I199*HELPER!$G$3))," ")</f>
        <v/>
      </c>
      <c r="K199" s="6" t="n"/>
      <c r="L199" s="14">
        <f t="array" ref="L199">IFERROR(_xlfn.LET(_xlpm.pairs,_xlfn._xlws.FILTER($A$2:$D$391,($A$2:$A$391&lt;&gt;"")*(TRIM($D$2:$D$391)&lt;&gt;"")),_xlpm.uniquePairs,_xlfn.UNIQUE(_xlfn.HSTACK(INDEX(_xlpm.pairs,,1),INDEX(_xlpm.pairs,,4))),_xlpm.sortedPairs,_xlfn._xlws.SORT(_xlpm.uniquePairs,1,1),IF(ROW()-1&lt;=ROWS(_xlpm.sortedPairs),INDEX(_xlpm.sortedPairs,ROW()-1,1),"")),"")</f>
        <v/>
      </c>
      <c r="M199" s="15">
        <f t="array" ref="M199">IFERROR(_xlfn.LET(_xlpm.pairs,_xlfn._xlws.FILTER($A$2:$D$391,($A$2:$A$391&lt;&gt;"")*(TRIM($D$2:$D$391)&lt;&gt;"")),_xlpm.uniquePairs,_xlfn.UNIQUE(_xlfn.HSTACK(INDEX(_xlpm.pairs,,1),INDEX(_xlpm.pairs,,4))),_xlpm.sortedPairs,_xlfn._xlws.SORT(_xlpm.uniquePairs,1,1),IF(ROW()-1&lt;=ROWS(_xlpm.sortedPairs),INDEX(_xlpm.sortedPairs,ROW()-1,2),"")),"")</f>
        <v/>
      </c>
      <c r="N199" s="15">
        <f t="array" ref="N199">IF(OR(L199="",M199=""),"",IFERROR(INDEX($E$2:$E$391,MATCH(1,($A$2:$A$391=L199)*($D$2:$D$391=M199),0)),""))</f>
        <v/>
      </c>
      <c r="O199" s="69">
        <f>IF(OR(L199="",M199=""),"",SUMIFS($J$2:$J$391,$A$2:$A$391,L199,$D$2:$D$391,M199))</f>
        <v/>
      </c>
      <c r="P199" s="6" t="n"/>
    </row>
    <row r="200">
      <c r="A200" s="44" t="inlineStr">
        <is>
          <t>PL202.1</t>
        </is>
      </c>
      <c r="B200" s="44" t="inlineStr">
        <is>
          <t xml:space="preserve">Ext. B </t>
        </is>
      </c>
      <c r="C200" s="43" t="n"/>
      <c r="D200" s="43">
        <f>IF(C200="","",IFERROR(_xlfn.XLOOKUP(C200,HELPER!$A$2:$A$76,HELPER!$B$2:$B$76,""),D200))</f>
        <v/>
      </c>
      <c r="E200" s="43">
        <f>IFERROR(_xlfn.XLOOKUP(D200,HELPER!$B:$B,HELPER!$C:$C,""),"")</f>
        <v/>
      </c>
      <c r="F200" s="42">
        <f>IFERROR(_xlfn.XLOOKUP(D200,HELPER!$B:$B,HELPER!$D:$D,""),"")</f>
        <v/>
      </c>
      <c r="G200" s="42" t="n">
        <v>8</v>
      </c>
      <c r="H200" s="556" t="n"/>
      <c r="I200" s="72">
        <f>IF(AND(H200&lt;&gt;"",IFERROR(_xlfn.XLOOKUP(D200,HELPER!$B:$B,HELPER!$E:$E,""),"")=""),"Missing price",IFERROR(_xlfn.XLOOKUP(D200,HELPER!$B:$B,HELPER!$E:$E,"")," "))</f>
        <v/>
      </c>
      <c r="J200" s="72">
        <f>IFERROR(H200*(IF(G200=8,I200*HELPER!$G$2,BOM!I200*HELPER!$G$3))," ")</f>
        <v/>
      </c>
      <c r="K200" s="6" t="n"/>
      <c r="L200" s="14">
        <f t="array" ref="L200">IFERROR(_xlfn.LET(_xlpm.pairs,_xlfn._xlws.FILTER($A$2:$D$391,($A$2:$A$391&lt;&gt;"")*(TRIM($D$2:$D$391)&lt;&gt;"")),_xlpm.uniquePairs,_xlfn.UNIQUE(_xlfn.HSTACK(INDEX(_xlpm.pairs,,1),INDEX(_xlpm.pairs,,4))),_xlpm.sortedPairs,_xlfn._xlws.SORT(_xlpm.uniquePairs,1,1),IF(ROW()-1&lt;=ROWS(_xlpm.sortedPairs),INDEX(_xlpm.sortedPairs,ROW()-1,1),"")),"")</f>
        <v/>
      </c>
      <c r="M200" s="15">
        <f t="array" ref="M200">IFERROR(_xlfn.LET(_xlpm.pairs,_xlfn._xlws.FILTER($A$2:$D$391,($A$2:$A$391&lt;&gt;"")*(TRIM($D$2:$D$391)&lt;&gt;"")),_xlpm.uniquePairs,_xlfn.UNIQUE(_xlfn.HSTACK(INDEX(_xlpm.pairs,,1),INDEX(_xlpm.pairs,,4))),_xlpm.sortedPairs,_xlfn._xlws.SORT(_xlpm.uniquePairs,1,1),IF(ROW()-1&lt;=ROWS(_xlpm.sortedPairs),INDEX(_xlpm.sortedPairs,ROW()-1,2),"")),"")</f>
        <v/>
      </c>
      <c r="N200" s="15">
        <f t="array" ref="N200">IF(OR(L200="",M200=""),"",IFERROR(INDEX($E$2:$E$391,MATCH(1,($A$2:$A$391=L200)*($D$2:$D$391=M200),0)),""))</f>
        <v/>
      </c>
      <c r="O200" s="69">
        <f>IF(OR(L200="",M200=""),"",SUMIFS($J$2:$J$391,$A$2:$A$391,L200,$D$2:$D$391,M200))</f>
        <v/>
      </c>
      <c r="P200" s="6" t="n"/>
    </row>
    <row r="201">
      <c r="A201" s="44" t="inlineStr">
        <is>
          <t>PL202.1</t>
        </is>
      </c>
      <c r="B201" s="44" t="inlineStr">
        <is>
          <t xml:space="preserve">Ext. B </t>
        </is>
      </c>
      <c r="C201" s="43" t="n"/>
      <c r="D201" s="43">
        <f>IF(C201="","",IFERROR(_xlfn.XLOOKUP(C201,HELPER!$A$2:$A$76,HELPER!$B$2:$B$76,""),D201))</f>
        <v/>
      </c>
      <c r="E201" s="43">
        <f>IFERROR(_xlfn.XLOOKUP(D201,HELPER!$B:$B,HELPER!$C:$C,""),"")</f>
        <v/>
      </c>
      <c r="F201" s="42">
        <f>IFERROR(_xlfn.XLOOKUP(D201,HELPER!$B:$B,HELPER!$D:$D,""),"")</f>
        <v/>
      </c>
      <c r="G201" s="42" t="n">
        <v>8</v>
      </c>
      <c r="H201" s="556" t="n"/>
      <c r="I201" s="72">
        <f>IF(AND(H201&lt;&gt;"",IFERROR(_xlfn.XLOOKUP(D201,HELPER!$B:$B,HELPER!$E:$E,""),"")=""),"Missing price",IFERROR(_xlfn.XLOOKUP(D201,HELPER!$B:$B,HELPER!$E:$E,"")," "))</f>
        <v/>
      </c>
      <c r="J201" s="72">
        <f>IFERROR(H201*(IF(G201=8,I201*HELPER!$G$2,BOM!I201*HELPER!$G$3))," ")</f>
        <v/>
      </c>
      <c r="K201" s="6" t="n"/>
      <c r="L201" s="14">
        <f t="array" ref="L201">IFERROR(_xlfn.LET(_xlpm.pairs,_xlfn._xlws.FILTER($A$2:$D$391,($A$2:$A$391&lt;&gt;"")*(TRIM($D$2:$D$391)&lt;&gt;"")),_xlpm.uniquePairs,_xlfn.UNIQUE(_xlfn.HSTACK(INDEX(_xlpm.pairs,,1),INDEX(_xlpm.pairs,,4))),_xlpm.sortedPairs,_xlfn._xlws.SORT(_xlpm.uniquePairs,1,1),IF(ROW()-1&lt;=ROWS(_xlpm.sortedPairs),INDEX(_xlpm.sortedPairs,ROW()-1,1),"")),"")</f>
        <v/>
      </c>
      <c r="M201" s="15">
        <f t="array" ref="M201">IFERROR(_xlfn.LET(_xlpm.pairs,_xlfn._xlws.FILTER($A$2:$D$391,($A$2:$A$391&lt;&gt;"")*(TRIM($D$2:$D$391)&lt;&gt;"")),_xlpm.uniquePairs,_xlfn.UNIQUE(_xlfn.HSTACK(INDEX(_xlpm.pairs,,1),INDEX(_xlpm.pairs,,4))),_xlpm.sortedPairs,_xlfn._xlws.SORT(_xlpm.uniquePairs,1,1),IF(ROW()-1&lt;=ROWS(_xlpm.sortedPairs),INDEX(_xlpm.sortedPairs,ROW()-1,2),"")),"")</f>
        <v/>
      </c>
      <c r="N201" s="15">
        <f t="array" ref="N201">IF(OR(L201="",M201=""),"",IFERROR(INDEX($E$2:$E$391,MATCH(1,($A$2:$A$391=L201)*($D$2:$D$391=M201),0)),""))</f>
        <v/>
      </c>
      <c r="O201" s="69">
        <f>IF(OR(L201="",M201=""),"",SUMIFS($J$2:$J$391,$A$2:$A$391,L201,$D$2:$D$391,M201))</f>
        <v/>
      </c>
      <c r="P201" s="6" t="n"/>
    </row>
    <row r="202">
      <c r="A202" s="44" t="inlineStr">
        <is>
          <t>PL202.1</t>
        </is>
      </c>
      <c r="B202" s="44" t="inlineStr">
        <is>
          <t>Ext. C (In)</t>
        </is>
      </c>
      <c r="C202" s="43" t="inlineStr">
        <is>
          <t>PBAT</t>
        </is>
      </c>
      <c r="D202" s="43">
        <f>IF(C202="","",IFERROR(_xlfn.XLOOKUP(C202,HELPER!$A$2:$A$76,HELPER!$B$2:$B$76,""),D202))</f>
        <v/>
      </c>
      <c r="E202" s="43">
        <f>IFERROR(_xlfn.XLOOKUP(D202,HELPER!$B:$B,HELPER!$C:$C,""),"")</f>
        <v/>
      </c>
      <c r="F202" s="42">
        <f>IFERROR(_xlfn.XLOOKUP(D202,HELPER!$B:$B,HELPER!$D:$D,""),"")</f>
        <v/>
      </c>
      <c r="G202" s="42" t="n">
        <v>8</v>
      </c>
      <c r="H202" s="556" t="n">
        <v>0.6899999999999999</v>
      </c>
      <c r="I202" s="72">
        <f>IF(AND(H202&lt;&gt;"",IFERROR(_xlfn.XLOOKUP(D202,HELPER!$B:$B,HELPER!$E:$E,""),"")=""),"Missing price",IFERROR(_xlfn.XLOOKUP(D202,HELPER!$B:$B,HELPER!$E:$E,"")," "))</f>
        <v/>
      </c>
      <c r="J202" s="72">
        <f>IFERROR(H202*(IF(G202=8,I202*HELPER!$G$2,BOM!I202*HELPER!$G$3))," ")</f>
        <v/>
      </c>
      <c r="K202" s="6" t="n"/>
      <c r="L202" s="14">
        <f t="array" ref="L202">IFERROR(_xlfn.LET(_xlpm.pairs,_xlfn._xlws.FILTER($A$2:$D$391,($A$2:$A$391&lt;&gt;"")*(TRIM($D$2:$D$391)&lt;&gt;"")),_xlpm.uniquePairs,_xlfn.UNIQUE(_xlfn.HSTACK(INDEX(_xlpm.pairs,,1),INDEX(_xlpm.pairs,,4))),_xlpm.sortedPairs,_xlfn._xlws.SORT(_xlpm.uniquePairs,1,1),IF(ROW()-1&lt;=ROWS(_xlpm.sortedPairs),INDEX(_xlpm.sortedPairs,ROW()-1,1),"")),"")</f>
        <v/>
      </c>
      <c r="M202" s="15">
        <f t="array" ref="M202">IFERROR(_xlfn.LET(_xlpm.pairs,_xlfn._xlws.FILTER($A$2:$D$391,($A$2:$A$391&lt;&gt;"")*(TRIM($D$2:$D$391)&lt;&gt;"")),_xlpm.uniquePairs,_xlfn.UNIQUE(_xlfn.HSTACK(INDEX(_xlpm.pairs,,1),INDEX(_xlpm.pairs,,4))),_xlpm.sortedPairs,_xlfn._xlws.SORT(_xlpm.uniquePairs,1,1),IF(ROW()-1&lt;=ROWS(_xlpm.sortedPairs),INDEX(_xlpm.sortedPairs,ROW()-1,2),"")),"")</f>
        <v/>
      </c>
      <c r="N202" s="15">
        <f t="array" ref="N202">IF(OR(L202="",M202=""),"",IFERROR(INDEX($E$2:$E$391,MATCH(1,($A$2:$A$391=L202)*($D$2:$D$391=M202),0)),""))</f>
        <v/>
      </c>
      <c r="O202" s="69">
        <f>IF(OR(L202="",M202=""),"",SUMIFS($J$2:$J$391,$A$2:$A$391,L202,$D$2:$D$391,M202))</f>
        <v/>
      </c>
      <c r="P202" s="6" t="n"/>
    </row>
    <row r="203">
      <c r="A203" s="44" t="inlineStr">
        <is>
          <t>PL202.1</t>
        </is>
      </c>
      <c r="B203" s="44" t="inlineStr">
        <is>
          <t>Ext. C (In)</t>
        </is>
      </c>
      <c r="C203" s="43" t="inlineStr">
        <is>
          <t>PVOH</t>
        </is>
      </c>
      <c r="D203" s="43">
        <f>IF(C203="","",IFERROR(_xlfn.XLOOKUP(C203,HELPER!$A$2:$A$76,HELPER!$B$2:$B$76,""),D203))</f>
        <v/>
      </c>
      <c r="E203" s="43">
        <f>IFERROR(_xlfn.XLOOKUP(D203,HELPER!$B:$B,HELPER!$C:$C,""),"")</f>
        <v/>
      </c>
      <c r="F203" s="42">
        <f>IFERROR(_xlfn.XLOOKUP(D203,HELPER!$B:$B,HELPER!$D:$D,""),"")</f>
        <v/>
      </c>
      <c r="G203" s="42" t="n">
        <v>8</v>
      </c>
      <c r="H203" s="556" t="n">
        <v>0.29</v>
      </c>
      <c r="I203" s="72">
        <f>IF(AND(H203&lt;&gt;"",IFERROR(_xlfn.XLOOKUP(D203,HELPER!$B:$B,HELPER!$E:$E,""),"")=""),"Missing price",IFERROR(_xlfn.XLOOKUP(D203,HELPER!$B:$B,HELPER!$E:$E,"")," "))</f>
        <v/>
      </c>
      <c r="J203" s="72">
        <f>IFERROR(H203*(IF(G203=8,I203*HELPER!$G$2,BOM!I203*HELPER!$G$3))," ")</f>
        <v/>
      </c>
      <c r="K203" s="6" t="n"/>
      <c r="L203" s="14">
        <f t="array" ref="L203">IFERROR(_xlfn.LET(_xlpm.pairs,_xlfn._xlws.FILTER($A$2:$D$391,($A$2:$A$391&lt;&gt;"")*(TRIM($D$2:$D$391)&lt;&gt;"")),_xlpm.uniquePairs,_xlfn.UNIQUE(_xlfn.HSTACK(INDEX(_xlpm.pairs,,1),INDEX(_xlpm.pairs,,4))),_xlpm.sortedPairs,_xlfn._xlws.SORT(_xlpm.uniquePairs,1,1),IF(ROW()-1&lt;=ROWS(_xlpm.sortedPairs),INDEX(_xlpm.sortedPairs,ROW()-1,1),"")),"")</f>
        <v/>
      </c>
      <c r="M203" s="15">
        <f t="array" ref="M203">IFERROR(_xlfn.LET(_xlpm.pairs,_xlfn._xlws.FILTER($A$2:$D$391,($A$2:$A$391&lt;&gt;"")*(TRIM($D$2:$D$391)&lt;&gt;"")),_xlpm.uniquePairs,_xlfn.UNIQUE(_xlfn.HSTACK(INDEX(_xlpm.pairs,,1),INDEX(_xlpm.pairs,,4))),_xlpm.sortedPairs,_xlfn._xlws.SORT(_xlpm.uniquePairs,1,1),IF(ROW()-1&lt;=ROWS(_xlpm.sortedPairs),INDEX(_xlpm.sortedPairs,ROW()-1,2),"")),"")</f>
        <v/>
      </c>
      <c r="N203" s="15">
        <f t="array" ref="N203">IF(OR(L203="",M203=""),"",IFERROR(INDEX($E$2:$E$391,MATCH(1,($A$2:$A$391=L203)*($D$2:$D$391=M203),0)),""))</f>
        <v/>
      </c>
      <c r="O203" s="69">
        <f>IF(OR(L203="",M203=""),"",SUMIFS($J$2:$J$391,$A$2:$A$391,L203,$D$2:$D$391,M203))</f>
        <v/>
      </c>
      <c r="P203" s="6" t="n"/>
    </row>
    <row r="204">
      <c r="A204" s="44" t="inlineStr">
        <is>
          <t>PL202.1</t>
        </is>
      </c>
      <c r="B204" s="44" t="inlineStr">
        <is>
          <t>Ext. C (In)</t>
        </is>
      </c>
      <c r="C204" s="43" t="inlineStr">
        <is>
          <t>AO-PBS</t>
        </is>
      </c>
      <c r="D204" s="43">
        <f>IF(C204="","",IFERROR(_xlfn.XLOOKUP(C204,HELPER!$A$2:$A$76,HELPER!$B$2:$B$76,""),D204))</f>
        <v/>
      </c>
      <c r="E204" s="43">
        <f>IFERROR(_xlfn.XLOOKUP(D204,HELPER!$B:$B,HELPER!$C:$C,""),"")</f>
        <v/>
      </c>
      <c r="F204" s="42">
        <f>IFERROR(_xlfn.XLOOKUP(D204,HELPER!$B:$B,HELPER!$D:$D,""),"")</f>
        <v/>
      </c>
      <c r="G204" s="42" t="n">
        <v>8</v>
      </c>
      <c r="H204" s="556" t="n">
        <v>0.02</v>
      </c>
      <c r="I204" s="72">
        <f>IF(AND(H204&lt;&gt;"",IFERROR(_xlfn.XLOOKUP(D204,HELPER!$B:$B,HELPER!$E:$E,""),"")=""),"Missing price",IFERROR(_xlfn.XLOOKUP(D204,HELPER!$B:$B,HELPER!$E:$E,"")," "))</f>
        <v/>
      </c>
      <c r="J204" s="72">
        <f>IFERROR(H204*(IF(G204=8,I204*HELPER!$G$2,BOM!I204*HELPER!$G$3))," ")</f>
        <v/>
      </c>
      <c r="K204" s="6" t="n"/>
      <c r="L204" s="14">
        <f t="array" ref="L204">IFERROR(_xlfn.LET(_xlpm.pairs,_xlfn._xlws.FILTER($A$2:$D$391,($A$2:$A$391&lt;&gt;"")*(TRIM($D$2:$D$391)&lt;&gt;"")),_xlpm.uniquePairs,_xlfn.UNIQUE(_xlfn.HSTACK(INDEX(_xlpm.pairs,,1),INDEX(_xlpm.pairs,,4))),_xlpm.sortedPairs,_xlfn._xlws.SORT(_xlpm.uniquePairs,1,1),IF(ROW()-1&lt;=ROWS(_xlpm.sortedPairs),INDEX(_xlpm.sortedPairs,ROW()-1,1),"")),"")</f>
        <v/>
      </c>
      <c r="M204" s="15">
        <f t="array" ref="M204">IFERROR(_xlfn.LET(_xlpm.pairs,_xlfn._xlws.FILTER($A$2:$D$391,($A$2:$A$391&lt;&gt;"")*(TRIM($D$2:$D$391)&lt;&gt;"")),_xlpm.uniquePairs,_xlfn.UNIQUE(_xlfn.HSTACK(INDEX(_xlpm.pairs,,1),INDEX(_xlpm.pairs,,4))),_xlpm.sortedPairs,_xlfn._xlws.SORT(_xlpm.uniquePairs,1,1),IF(ROW()-1&lt;=ROWS(_xlpm.sortedPairs),INDEX(_xlpm.sortedPairs,ROW()-1,2),"")),"")</f>
        <v/>
      </c>
      <c r="N204" s="15">
        <f t="array" ref="N204">IF(OR(L204="",M204=""),"",IFERROR(INDEX($E$2:$E$391,MATCH(1,($A$2:$A$391=L204)*($D$2:$D$391=M204),0)),""))</f>
        <v/>
      </c>
      <c r="O204" s="69">
        <f>IF(OR(L204="",M204=""),"",SUMIFS($J$2:$J$391,$A$2:$A$391,L204,$D$2:$D$391,M204))</f>
        <v/>
      </c>
      <c r="P204" s="6" t="n"/>
    </row>
    <row r="205">
      <c r="A205" s="44" t="inlineStr">
        <is>
          <t>PL202.1</t>
        </is>
      </c>
      <c r="B205" s="44" t="inlineStr">
        <is>
          <t>Ext. C (In)</t>
        </is>
      </c>
      <c r="C205" s="43" t="n"/>
      <c r="D205" s="43">
        <f>IF(C205="","",IFERROR(_xlfn.XLOOKUP(C205,HELPER!$A$2:$A$76,HELPER!$B$2:$B$76,""),D205))</f>
        <v/>
      </c>
      <c r="E205" s="43">
        <f>IFERROR(_xlfn.XLOOKUP(D205,HELPER!$B:$B,HELPER!$C:$C,""),"")</f>
        <v/>
      </c>
      <c r="F205" s="42">
        <f>IFERROR(_xlfn.XLOOKUP(D205,HELPER!$B:$B,HELPER!$D:$D,""),"")</f>
        <v/>
      </c>
      <c r="G205" s="42" t="n">
        <v>8</v>
      </c>
      <c r="H205" s="556" t="n"/>
      <c r="I205" s="72">
        <f>IF(AND(H205&lt;&gt;"",IFERROR(_xlfn.XLOOKUP(D205,HELPER!$B:$B,HELPER!$E:$E,""),"")=""),"Missing price",IFERROR(_xlfn.XLOOKUP(D205,HELPER!$B:$B,HELPER!$E:$E,"")," "))</f>
        <v/>
      </c>
      <c r="J205" s="72">
        <f>IFERROR(H205*(IF(G205=8,I205*HELPER!$G$2,BOM!I205*HELPER!$G$3))," ")</f>
        <v/>
      </c>
      <c r="K205" s="6" t="n"/>
      <c r="L205" s="14">
        <f t="array" ref="L205">IFERROR(_xlfn.LET(_xlpm.pairs,_xlfn._xlws.FILTER($A$2:$D$391,($A$2:$A$391&lt;&gt;"")*(TRIM($D$2:$D$391)&lt;&gt;"")),_xlpm.uniquePairs,_xlfn.UNIQUE(_xlfn.HSTACK(INDEX(_xlpm.pairs,,1),INDEX(_xlpm.pairs,,4))),_xlpm.sortedPairs,_xlfn._xlws.SORT(_xlpm.uniquePairs,1,1),IF(ROW()-1&lt;=ROWS(_xlpm.sortedPairs),INDEX(_xlpm.sortedPairs,ROW()-1,1),"")),"")</f>
        <v/>
      </c>
      <c r="M205" s="15">
        <f t="array" ref="M205">IFERROR(_xlfn.LET(_xlpm.pairs,_xlfn._xlws.FILTER($A$2:$D$391,($A$2:$A$391&lt;&gt;"")*(TRIM($D$2:$D$391)&lt;&gt;"")),_xlpm.uniquePairs,_xlfn.UNIQUE(_xlfn.HSTACK(INDEX(_xlpm.pairs,,1),INDEX(_xlpm.pairs,,4))),_xlpm.sortedPairs,_xlfn._xlws.SORT(_xlpm.uniquePairs,1,1),IF(ROW()-1&lt;=ROWS(_xlpm.sortedPairs),INDEX(_xlpm.sortedPairs,ROW()-1,2),"")),"")</f>
        <v/>
      </c>
      <c r="N205" s="15">
        <f t="array" ref="N205">IF(OR(L205="",M205=""),"",IFERROR(INDEX($E$2:$E$391,MATCH(1,($A$2:$A$391=L205)*($D$2:$D$391=M205),0)),""))</f>
        <v/>
      </c>
      <c r="O205" s="69">
        <f>IF(OR(L205="",M205=""),"",SUMIFS($J$2:$J$391,$A$2:$A$391,L205,$D$2:$D$391,M205))</f>
        <v/>
      </c>
      <c r="P205" s="6" t="n"/>
    </row>
    <row r="206">
      <c r="A206" s="44" t="inlineStr">
        <is>
          <t>PL202.1</t>
        </is>
      </c>
      <c r="B206" s="44" t="inlineStr">
        <is>
          <t>Ext. C (In)</t>
        </is>
      </c>
      <c r="C206" s="43" t="n"/>
      <c r="D206" s="43">
        <f>IF(C206="","",IFERROR(_xlfn.XLOOKUP(C206,HELPER!$A$2:$A$76,HELPER!$B$2:$B$76,""),D206))</f>
        <v/>
      </c>
      <c r="E206" s="43">
        <f>IFERROR(_xlfn.XLOOKUP(D206,HELPER!$B:$B,HELPER!$C:$C,""),"")</f>
        <v/>
      </c>
      <c r="F206" s="42">
        <f>IFERROR(_xlfn.XLOOKUP(D206,HELPER!$B:$B,HELPER!$D:$D,""),"")</f>
        <v/>
      </c>
      <c r="G206" s="42" t="n">
        <v>8</v>
      </c>
      <c r="H206" s="556" t="n"/>
      <c r="I206" s="72">
        <f>IF(AND(H206&lt;&gt;"",IFERROR(_xlfn.XLOOKUP(D206,HELPER!$B:$B,HELPER!$E:$E,""),"")=""),"Missing price",IFERROR(_xlfn.XLOOKUP(D206,HELPER!$B:$B,HELPER!$E:$E,"")," "))</f>
        <v/>
      </c>
      <c r="J206" s="72">
        <f>IFERROR(H206*(IF(G206=8,I206*HELPER!$G$2,BOM!I206*HELPER!$G$3))," ")</f>
        <v/>
      </c>
      <c r="K206" s="6" t="n"/>
      <c r="L206" s="14">
        <f t="array" ref="L206">IFERROR(_xlfn.LET(_xlpm.pairs,_xlfn._xlws.FILTER($A$2:$D$391,($A$2:$A$391&lt;&gt;"")*(TRIM($D$2:$D$391)&lt;&gt;"")),_xlpm.uniquePairs,_xlfn.UNIQUE(_xlfn.HSTACK(INDEX(_xlpm.pairs,,1),INDEX(_xlpm.pairs,,4))),_xlpm.sortedPairs,_xlfn._xlws.SORT(_xlpm.uniquePairs,1,1),IF(ROW()-1&lt;=ROWS(_xlpm.sortedPairs),INDEX(_xlpm.sortedPairs,ROW()-1,1),"")),"")</f>
        <v/>
      </c>
      <c r="M206" s="15">
        <f t="array" ref="M206">IFERROR(_xlfn.LET(_xlpm.pairs,_xlfn._xlws.FILTER($A$2:$D$391,($A$2:$A$391&lt;&gt;"")*(TRIM($D$2:$D$391)&lt;&gt;"")),_xlpm.uniquePairs,_xlfn.UNIQUE(_xlfn.HSTACK(INDEX(_xlpm.pairs,,1),INDEX(_xlpm.pairs,,4))),_xlpm.sortedPairs,_xlfn._xlws.SORT(_xlpm.uniquePairs,1,1),IF(ROW()-1&lt;=ROWS(_xlpm.sortedPairs),INDEX(_xlpm.sortedPairs,ROW()-1,2),"")),"")</f>
        <v/>
      </c>
      <c r="N206" s="15">
        <f t="array" ref="N206">IF(OR(L206="",M206=""),"",IFERROR(INDEX($E$2:$E$391,MATCH(1,($A$2:$A$391=L206)*($D$2:$D$391=M206),0)),""))</f>
        <v/>
      </c>
      <c r="O206" s="69">
        <f>IF(OR(L206="",M206=""),"",SUMIFS($J$2:$J$391,$A$2:$A$391,L206,$D$2:$D$391,M206))</f>
        <v/>
      </c>
      <c r="P206" s="6" t="n"/>
    </row>
    <row r="207">
      <c r="A207" s="44" t="inlineStr">
        <is>
          <t>PL202.1</t>
        </is>
      </c>
      <c r="B207" s="44" t="inlineStr">
        <is>
          <t>Ext. C (In)</t>
        </is>
      </c>
      <c r="C207" s="43" t="n"/>
      <c r="D207" s="43">
        <f>IF(C207="","",IFERROR(_xlfn.XLOOKUP(C207,HELPER!$A$2:$A$76,HELPER!$B$2:$B$76,""),D207))</f>
        <v/>
      </c>
      <c r="E207" s="43">
        <f>IFERROR(_xlfn.XLOOKUP(D207,HELPER!$B:$B,HELPER!$C:$C,""),"")</f>
        <v/>
      </c>
      <c r="F207" s="42">
        <f>IFERROR(_xlfn.XLOOKUP(D207,HELPER!$B:$B,HELPER!$D:$D,""),"")</f>
        <v/>
      </c>
      <c r="G207" s="42" t="n">
        <v>8</v>
      </c>
      <c r="H207" s="556" t="n"/>
      <c r="I207" s="72">
        <f>IF(AND(H207&lt;&gt;"",IFERROR(_xlfn.XLOOKUP(D207,HELPER!$B:$B,HELPER!$E:$E,""),"")=""),"Missing price",IFERROR(_xlfn.XLOOKUP(D207,HELPER!$B:$B,HELPER!$E:$E,"")," "))</f>
        <v/>
      </c>
      <c r="J207" s="72">
        <f>IFERROR(H207*(IF(G207=8,I207*HELPER!$G$2,BOM!I207*HELPER!$G$3))," ")</f>
        <v/>
      </c>
      <c r="K207" s="6" t="n"/>
      <c r="L207" s="14">
        <f t="array" ref="L207">IFERROR(_xlfn.LET(_xlpm.pairs,_xlfn._xlws.FILTER($A$2:$D$391,($A$2:$A$391&lt;&gt;"")*(TRIM($D$2:$D$391)&lt;&gt;"")),_xlpm.uniquePairs,_xlfn.UNIQUE(_xlfn.HSTACK(INDEX(_xlpm.pairs,,1),INDEX(_xlpm.pairs,,4))),_xlpm.sortedPairs,_xlfn._xlws.SORT(_xlpm.uniquePairs,1,1),IF(ROW()-1&lt;=ROWS(_xlpm.sortedPairs),INDEX(_xlpm.sortedPairs,ROW()-1,1),"")),"")</f>
        <v/>
      </c>
      <c r="M207" s="15">
        <f t="array" ref="M207">IFERROR(_xlfn.LET(_xlpm.pairs,_xlfn._xlws.FILTER($A$2:$D$391,($A$2:$A$391&lt;&gt;"")*(TRIM($D$2:$D$391)&lt;&gt;"")),_xlpm.uniquePairs,_xlfn.UNIQUE(_xlfn.HSTACK(INDEX(_xlpm.pairs,,1),INDEX(_xlpm.pairs,,4))),_xlpm.sortedPairs,_xlfn._xlws.SORT(_xlpm.uniquePairs,1,1),IF(ROW()-1&lt;=ROWS(_xlpm.sortedPairs),INDEX(_xlpm.sortedPairs,ROW()-1,2),"")),"")</f>
        <v/>
      </c>
      <c r="N207" s="15">
        <f t="array" ref="N207">IF(OR(L207="",M207=""),"",IFERROR(INDEX($E$2:$E$391,MATCH(1,($A$2:$A$391=L207)*($D$2:$D$391=M207),0)),""))</f>
        <v/>
      </c>
      <c r="O207" s="69">
        <f>IF(OR(L207="",M207=""),"",SUMIFS($J$2:$J$391,$A$2:$A$391,L207,$D$2:$D$391,M207))</f>
        <v/>
      </c>
      <c r="P207" s="6" t="n"/>
    </row>
    <row r="208">
      <c r="A208" s="44" t="inlineStr">
        <is>
          <t>PL202.1</t>
        </is>
      </c>
      <c r="B208" s="44" t="inlineStr">
        <is>
          <t>Ext. C (In)</t>
        </is>
      </c>
      <c r="C208" s="43" t="n"/>
      <c r="D208" s="43">
        <f>IF(C208="","",IFERROR(_xlfn.XLOOKUP(C208,HELPER!$A$2:$A$76,HELPER!$B$2:$B$76,""),D208))</f>
        <v/>
      </c>
      <c r="E208" s="43">
        <f>IFERROR(_xlfn.XLOOKUP(D208,HELPER!$B:$B,HELPER!$C:$C,""),"")</f>
        <v/>
      </c>
      <c r="F208" s="42">
        <f>IFERROR(_xlfn.XLOOKUP(D208,HELPER!$B:$B,HELPER!$D:$D,""),"")</f>
        <v/>
      </c>
      <c r="G208" s="42" t="n">
        <v>8</v>
      </c>
      <c r="H208" s="556" t="n"/>
      <c r="I208" s="72">
        <f>IF(AND(H208&lt;&gt;"",IFERROR(_xlfn.XLOOKUP(D208,HELPER!$B:$B,HELPER!$E:$E,""),"")=""),"Missing price",IFERROR(_xlfn.XLOOKUP(D208,HELPER!$B:$B,HELPER!$E:$E,"")," "))</f>
        <v/>
      </c>
      <c r="J208" s="72">
        <f>IFERROR(H208*(IF(G208=8,I208*HELPER!$G$2,BOM!I208*HELPER!$G$3))," ")</f>
        <v/>
      </c>
      <c r="K208" s="6" t="n"/>
      <c r="L208" s="14">
        <f t="array" ref="L208">IFERROR(_xlfn.LET(_xlpm.pairs,_xlfn._xlws.FILTER($A$2:$D$391,($A$2:$A$391&lt;&gt;"")*(TRIM($D$2:$D$391)&lt;&gt;"")),_xlpm.uniquePairs,_xlfn.UNIQUE(_xlfn.HSTACK(INDEX(_xlpm.pairs,,1),INDEX(_xlpm.pairs,,4))),_xlpm.sortedPairs,_xlfn._xlws.SORT(_xlpm.uniquePairs,1,1),IF(ROW()-1&lt;=ROWS(_xlpm.sortedPairs),INDEX(_xlpm.sortedPairs,ROW()-1,1),"")),"")</f>
        <v/>
      </c>
      <c r="M208" s="15">
        <f t="array" ref="M208">IFERROR(_xlfn.LET(_xlpm.pairs,_xlfn._xlws.FILTER($A$2:$D$391,($A$2:$A$391&lt;&gt;"")*(TRIM($D$2:$D$391)&lt;&gt;"")),_xlpm.uniquePairs,_xlfn.UNIQUE(_xlfn.HSTACK(INDEX(_xlpm.pairs,,1),INDEX(_xlpm.pairs,,4))),_xlpm.sortedPairs,_xlfn._xlws.SORT(_xlpm.uniquePairs,1,1),IF(ROW()-1&lt;=ROWS(_xlpm.sortedPairs),INDEX(_xlpm.sortedPairs,ROW()-1,2),"")),"")</f>
        <v/>
      </c>
      <c r="N208" s="15">
        <f t="array" ref="N208">IF(OR(L208="",M208=""),"",IFERROR(INDEX($E$2:$E$391,MATCH(1,($A$2:$A$391=L208)*($D$2:$D$391=M208),0)),""))</f>
        <v/>
      </c>
      <c r="O208" s="69">
        <f>IF(OR(L208="",M208=""),"",SUMIFS($J$2:$J$391,$A$2:$A$391,L208,$D$2:$D$391,M208))</f>
        <v/>
      </c>
      <c r="P208" s="6" t="n"/>
    </row>
    <row r="209">
      <c r="A209" s="44" t="inlineStr">
        <is>
          <t>PL202.1</t>
        </is>
      </c>
      <c r="B209" s="44" t="inlineStr">
        <is>
          <t>Ext. C (In)</t>
        </is>
      </c>
      <c r="C209" s="43" t="n"/>
      <c r="D209" s="43">
        <f>IF(C209="","",IFERROR(_xlfn.XLOOKUP(C209,HELPER!$A$2:$A$76,HELPER!$B$2:$B$76,""),D209))</f>
        <v/>
      </c>
      <c r="E209" s="43">
        <f>IFERROR(_xlfn.XLOOKUP(D209,HELPER!$B:$B,HELPER!$C:$C,""),"")</f>
        <v/>
      </c>
      <c r="F209" s="42">
        <f>IFERROR(_xlfn.XLOOKUP(D209,HELPER!$B:$B,HELPER!$D:$D,""),"")</f>
        <v/>
      </c>
      <c r="G209" s="42" t="n">
        <v>8</v>
      </c>
      <c r="H209" s="556" t="n"/>
      <c r="I209" s="72">
        <f>IF(AND(H209&lt;&gt;"",IFERROR(_xlfn.XLOOKUP(D209,HELPER!$B:$B,HELPER!$E:$E,""),"")=""),"Missing price",IFERROR(_xlfn.XLOOKUP(D209,HELPER!$B:$B,HELPER!$E:$E,"")," "))</f>
        <v/>
      </c>
      <c r="J209" s="72">
        <f>IFERROR(H209*(IF(G209=8,I209*HELPER!$G$2,BOM!I209*HELPER!$G$3))," ")</f>
        <v/>
      </c>
      <c r="K209" s="6" t="n"/>
      <c r="L209" s="14">
        <f t="array" ref="L209">IFERROR(_xlfn.LET(_xlpm.pairs,_xlfn._xlws.FILTER($A$2:$D$391,($A$2:$A$391&lt;&gt;"")*(TRIM($D$2:$D$391)&lt;&gt;"")),_xlpm.uniquePairs,_xlfn.UNIQUE(_xlfn.HSTACK(INDEX(_xlpm.pairs,,1),INDEX(_xlpm.pairs,,4))),_xlpm.sortedPairs,_xlfn._xlws.SORT(_xlpm.uniquePairs,1,1),IF(ROW()-1&lt;=ROWS(_xlpm.sortedPairs),INDEX(_xlpm.sortedPairs,ROW()-1,1),"")),"")</f>
        <v/>
      </c>
      <c r="M209" s="15">
        <f t="array" ref="M209">IFERROR(_xlfn.LET(_xlpm.pairs,_xlfn._xlws.FILTER($A$2:$D$391,($A$2:$A$391&lt;&gt;"")*(TRIM($D$2:$D$391)&lt;&gt;"")),_xlpm.uniquePairs,_xlfn.UNIQUE(_xlfn.HSTACK(INDEX(_xlpm.pairs,,1),INDEX(_xlpm.pairs,,4))),_xlpm.sortedPairs,_xlfn._xlws.SORT(_xlpm.uniquePairs,1,1),IF(ROW()-1&lt;=ROWS(_xlpm.sortedPairs),INDEX(_xlpm.sortedPairs,ROW()-1,2),"")),"")</f>
        <v/>
      </c>
      <c r="N209" s="15">
        <f t="array" ref="N209">IF(OR(L209="",M209=""),"",IFERROR(INDEX($E$2:$E$391,MATCH(1,($A$2:$A$391=L209)*($D$2:$D$391=M209),0)),""))</f>
        <v/>
      </c>
      <c r="O209" s="69">
        <f>IF(OR(L209="",M209=""),"",SUMIFS($J$2:$J$391,$A$2:$A$391,L209,$D$2:$D$391,M209))</f>
        <v/>
      </c>
      <c r="P209" s="6" t="n"/>
    </row>
    <row r="210">
      <c r="A210" s="44" t="inlineStr">
        <is>
          <t>PL202.1</t>
        </is>
      </c>
      <c r="B210" s="44" t="inlineStr">
        <is>
          <t>Ext. C (In)</t>
        </is>
      </c>
      <c r="C210" s="43" t="n"/>
      <c r="D210" s="43">
        <f>IF(C210="","",IFERROR(_xlfn.XLOOKUP(C210,HELPER!$A$2:$A$76,HELPER!$B$2:$B$76,""),D210))</f>
        <v/>
      </c>
      <c r="E210" s="43">
        <f>IFERROR(_xlfn.XLOOKUP(D210,HELPER!$B:$B,HELPER!$C:$C,""),"")</f>
        <v/>
      </c>
      <c r="F210" s="42">
        <f>IFERROR(_xlfn.XLOOKUP(D210,HELPER!$B:$B,HELPER!$D:$D,""),"")</f>
        <v/>
      </c>
      <c r="G210" s="42" t="n">
        <v>8</v>
      </c>
      <c r="H210" s="556" t="n"/>
      <c r="I210" s="72">
        <f>IF(AND(H210&lt;&gt;"",IFERROR(_xlfn.XLOOKUP(D210,HELPER!$B:$B,HELPER!$E:$E,""),"")=""),"Missing price",IFERROR(_xlfn.XLOOKUP(D210,HELPER!$B:$B,HELPER!$E:$E,"")," "))</f>
        <v/>
      </c>
      <c r="J210" s="72">
        <f>IFERROR(H210*(IF(G210=8,I210*HELPER!$G$2,BOM!I210*HELPER!$G$3))," ")</f>
        <v/>
      </c>
      <c r="K210" s="6" t="n"/>
      <c r="L210" s="14">
        <f t="array" ref="L210">IFERROR(_xlfn.LET(_xlpm.pairs,_xlfn._xlws.FILTER($A$2:$D$391,($A$2:$A$391&lt;&gt;"")*(TRIM($D$2:$D$391)&lt;&gt;"")),_xlpm.uniquePairs,_xlfn.UNIQUE(_xlfn.HSTACK(INDEX(_xlpm.pairs,,1),INDEX(_xlpm.pairs,,4))),_xlpm.sortedPairs,_xlfn._xlws.SORT(_xlpm.uniquePairs,1,1),IF(ROW()-1&lt;=ROWS(_xlpm.sortedPairs),INDEX(_xlpm.sortedPairs,ROW()-1,1),"")),"")</f>
        <v/>
      </c>
      <c r="M210" s="15">
        <f t="array" ref="M210">IFERROR(_xlfn.LET(_xlpm.pairs,_xlfn._xlws.FILTER($A$2:$D$391,($A$2:$A$391&lt;&gt;"")*(TRIM($D$2:$D$391)&lt;&gt;"")),_xlpm.uniquePairs,_xlfn.UNIQUE(_xlfn.HSTACK(INDEX(_xlpm.pairs,,1),INDEX(_xlpm.pairs,,4))),_xlpm.sortedPairs,_xlfn._xlws.SORT(_xlpm.uniquePairs,1,1),IF(ROW()-1&lt;=ROWS(_xlpm.sortedPairs),INDEX(_xlpm.sortedPairs,ROW()-1,2),"")),"")</f>
        <v/>
      </c>
      <c r="N210" s="15">
        <f t="array" ref="N210">IF(OR(L210="",M210=""),"",IFERROR(INDEX($E$2:$E$391,MATCH(1,($A$2:$A$391=L210)*($D$2:$D$391=M210),0)),""))</f>
        <v/>
      </c>
      <c r="O210" s="69">
        <f>IF(OR(L210="",M210=""),"",SUMIFS($J$2:$J$391,$A$2:$A$391,L210,$D$2:$D$391,M210))</f>
        <v/>
      </c>
      <c r="P210" s="6" t="n"/>
    </row>
    <row r="211">
      <c r="A211" s="44" t="inlineStr">
        <is>
          <t>PL202.1</t>
        </is>
      </c>
      <c r="B211" s="44" t="inlineStr">
        <is>
          <t>Ext. C (In)</t>
        </is>
      </c>
      <c r="C211" s="43" t="n"/>
      <c r="D211" s="43">
        <f>IF(C211="","",IFERROR(_xlfn.XLOOKUP(C211,HELPER!$A$2:$A$76,HELPER!$B$2:$B$76,""),D211))</f>
        <v/>
      </c>
      <c r="E211" s="43">
        <f>IFERROR(_xlfn.XLOOKUP(D211,HELPER!$B:$B,HELPER!$C:$C,""),"")</f>
        <v/>
      </c>
      <c r="F211" s="42">
        <f>IFERROR(_xlfn.XLOOKUP(D211,HELPER!$B:$B,HELPER!$D:$D,""),"")</f>
        <v/>
      </c>
      <c r="G211" s="42" t="n">
        <v>8</v>
      </c>
      <c r="H211" s="556" t="n"/>
      <c r="I211" s="72">
        <f>IF(AND(H211&lt;&gt;"",IFERROR(_xlfn.XLOOKUP(D211,HELPER!$B:$B,HELPER!$E:$E,""),"")=""),"Missing price",IFERROR(_xlfn.XLOOKUP(D211,HELPER!$B:$B,HELPER!$E:$E,"")," "))</f>
        <v/>
      </c>
      <c r="J211" s="72">
        <f>IFERROR(H211*(IF(G211=8,I211*HELPER!$G$2,BOM!I211*HELPER!$G$3))," ")</f>
        <v/>
      </c>
      <c r="K211" s="6" t="n"/>
      <c r="L211" s="14">
        <f t="array" ref="L211">IFERROR(_xlfn.LET(_xlpm.pairs,_xlfn._xlws.FILTER($A$2:$D$391,($A$2:$A$391&lt;&gt;"")*(TRIM($D$2:$D$391)&lt;&gt;"")),_xlpm.uniquePairs,_xlfn.UNIQUE(_xlfn.HSTACK(INDEX(_xlpm.pairs,,1),INDEX(_xlpm.pairs,,4))),_xlpm.sortedPairs,_xlfn._xlws.SORT(_xlpm.uniquePairs,1,1),IF(ROW()-1&lt;=ROWS(_xlpm.sortedPairs),INDEX(_xlpm.sortedPairs,ROW()-1,1),"")),"")</f>
        <v/>
      </c>
      <c r="M211" s="15">
        <f t="array" ref="M211">IFERROR(_xlfn.LET(_xlpm.pairs,_xlfn._xlws.FILTER($A$2:$D$391,($A$2:$A$391&lt;&gt;"")*(TRIM($D$2:$D$391)&lt;&gt;"")),_xlpm.uniquePairs,_xlfn.UNIQUE(_xlfn.HSTACK(INDEX(_xlpm.pairs,,1),INDEX(_xlpm.pairs,,4))),_xlpm.sortedPairs,_xlfn._xlws.SORT(_xlpm.uniquePairs,1,1),IF(ROW()-1&lt;=ROWS(_xlpm.sortedPairs),INDEX(_xlpm.sortedPairs,ROW()-1,2),"")),"")</f>
        <v/>
      </c>
      <c r="N211" s="15">
        <f t="array" ref="N211">IF(OR(L211="",M211=""),"",IFERROR(INDEX($E$2:$E$391,MATCH(1,($A$2:$A$391=L211)*($D$2:$D$391=M211),0)),""))</f>
        <v/>
      </c>
      <c r="O211" s="69">
        <f>IF(OR(L211="",M211=""),"",SUMIFS($J$2:$J$391,$A$2:$A$391,L211,$D$2:$D$391,M211))</f>
        <v/>
      </c>
      <c r="P211" s="6" t="n"/>
    </row>
    <row r="212">
      <c r="A212" s="44" t="inlineStr">
        <is>
          <t>PL202.2</t>
        </is>
      </c>
      <c r="B212" s="44" t="inlineStr">
        <is>
          <t>Ext. A (Out - Chillroll)</t>
        </is>
      </c>
      <c r="C212" s="43" t="inlineStr">
        <is>
          <t>PLA</t>
        </is>
      </c>
      <c r="D212" s="43">
        <f>IF(C212="","",IFERROR(_xlfn.XLOOKUP(C212,HELPER!$A$2:$A$76,HELPER!$B$2:$B$76,""),D212))</f>
        <v/>
      </c>
      <c r="E212" s="43">
        <f>IFERROR(_xlfn.XLOOKUP(D212,HELPER!$B:$B,HELPER!$C:$C,""),"")</f>
        <v/>
      </c>
      <c r="F212" s="42">
        <f>IFERROR(_xlfn.XLOOKUP(D212,HELPER!$B:$B,HELPER!$D:$D,""),"")</f>
        <v/>
      </c>
      <c r="G212" s="42" t="n">
        <v>24</v>
      </c>
      <c r="H212" s="556" t="n">
        <v>0.79</v>
      </c>
      <c r="I212" s="72">
        <f>IF(AND(H212&lt;&gt;"",IFERROR(_xlfn.XLOOKUP(D212,HELPER!$B:$B,HELPER!$E:$E,""),"")=""),"Missing price",IFERROR(_xlfn.XLOOKUP(D212,HELPER!$B:$B,HELPER!$E:$E,"")," "))</f>
        <v/>
      </c>
      <c r="J212" s="72">
        <f>IFERROR(H212*(IF(G212=8,I212*HELPER!$G$2,BOM!I212*HELPER!$G$3))," ")</f>
        <v/>
      </c>
      <c r="K212" s="6" t="n"/>
      <c r="L212" s="14">
        <f t="array" ref="L212">IFERROR(_xlfn.LET(_xlpm.pairs,_xlfn._xlws.FILTER($A$2:$D$391,($A$2:$A$391&lt;&gt;"")*(TRIM($D$2:$D$391)&lt;&gt;"")),_xlpm.uniquePairs,_xlfn.UNIQUE(_xlfn.HSTACK(INDEX(_xlpm.pairs,,1),INDEX(_xlpm.pairs,,4))),_xlpm.sortedPairs,_xlfn._xlws.SORT(_xlpm.uniquePairs,1,1),IF(ROW()-1&lt;=ROWS(_xlpm.sortedPairs),INDEX(_xlpm.sortedPairs,ROW()-1,1),"")),"")</f>
        <v/>
      </c>
      <c r="M212" s="15">
        <f t="array" ref="M212">IFERROR(_xlfn.LET(_xlpm.pairs,_xlfn._xlws.FILTER($A$2:$D$391,($A$2:$A$391&lt;&gt;"")*(TRIM($D$2:$D$391)&lt;&gt;"")),_xlpm.uniquePairs,_xlfn.UNIQUE(_xlfn.HSTACK(INDEX(_xlpm.pairs,,1),INDEX(_xlpm.pairs,,4))),_xlpm.sortedPairs,_xlfn._xlws.SORT(_xlpm.uniquePairs,1,1),IF(ROW()-1&lt;=ROWS(_xlpm.sortedPairs),INDEX(_xlpm.sortedPairs,ROW()-1,2),"")),"")</f>
        <v/>
      </c>
      <c r="N212" s="15">
        <f t="array" ref="N212">IF(OR(L212="",M212=""),"",IFERROR(INDEX($E$2:$E$391,MATCH(1,($A$2:$A$391=L212)*($D$2:$D$391=M212),0)),""))</f>
        <v/>
      </c>
      <c r="O212" s="69">
        <f>IF(OR(L212="",M212=""),"",SUMIFS($J$2:$J$391,$A$2:$A$391,L212,$D$2:$D$391,M212))</f>
        <v/>
      </c>
      <c r="P212" s="6" t="n"/>
    </row>
    <row r="213">
      <c r="A213" s="44" t="inlineStr">
        <is>
          <t>PL202.2</t>
        </is>
      </c>
      <c r="B213" s="44" t="inlineStr">
        <is>
          <t>Ext. A (Out - Chillroll)</t>
        </is>
      </c>
      <c r="C213" s="43" t="inlineStr">
        <is>
          <t>PCL</t>
        </is>
      </c>
      <c r="D213" s="43">
        <f>IF(C213="","",IFERROR(_xlfn.XLOOKUP(C213,HELPER!$A$2:$A$76,HELPER!$B$2:$B$76,""),D213))</f>
        <v/>
      </c>
      <c r="E213" s="43">
        <f>IFERROR(_xlfn.XLOOKUP(D213,HELPER!$B:$B,HELPER!$C:$C,""),"")</f>
        <v/>
      </c>
      <c r="F213" s="42">
        <f>IFERROR(_xlfn.XLOOKUP(D213,HELPER!$B:$B,HELPER!$D:$D,""),"")</f>
        <v/>
      </c>
      <c r="G213" s="42" t="n">
        <v>24</v>
      </c>
      <c r="H213" s="556" t="n">
        <v>0.19</v>
      </c>
      <c r="I213" s="72">
        <f>IF(AND(H213&lt;&gt;"",IFERROR(_xlfn.XLOOKUP(D213,HELPER!$B:$B,HELPER!$E:$E,""),"")=""),"Missing price",IFERROR(_xlfn.XLOOKUP(D213,HELPER!$B:$B,HELPER!$E:$E,"")," "))</f>
        <v/>
      </c>
      <c r="J213" s="72">
        <f>IFERROR(H213*(IF(G213=8,I213*HELPER!$G$2,BOM!I213*HELPER!$G$3))," ")</f>
        <v/>
      </c>
      <c r="K213" s="6" t="n"/>
      <c r="L213" s="14">
        <f t="array" ref="L213">IFERROR(_xlfn.LET(_xlpm.pairs,_xlfn._xlws.FILTER($A$2:$D$391,($A$2:$A$391&lt;&gt;"")*(TRIM($D$2:$D$391)&lt;&gt;"")),_xlpm.uniquePairs,_xlfn.UNIQUE(_xlfn.HSTACK(INDEX(_xlpm.pairs,,1),INDEX(_xlpm.pairs,,4))),_xlpm.sortedPairs,_xlfn._xlws.SORT(_xlpm.uniquePairs,1,1),IF(ROW()-1&lt;=ROWS(_xlpm.sortedPairs),INDEX(_xlpm.sortedPairs,ROW()-1,1),"")),"")</f>
        <v/>
      </c>
      <c r="M213" s="15">
        <f t="array" ref="M213">IFERROR(_xlfn.LET(_xlpm.pairs,_xlfn._xlws.FILTER($A$2:$D$391,($A$2:$A$391&lt;&gt;"")*(TRIM($D$2:$D$391)&lt;&gt;"")),_xlpm.uniquePairs,_xlfn.UNIQUE(_xlfn.HSTACK(INDEX(_xlpm.pairs,,1),INDEX(_xlpm.pairs,,4))),_xlpm.sortedPairs,_xlfn._xlws.SORT(_xlpm.uniquePairs,1,1),IF(ROW()-1&lt;=ROWS(_xlpm.sortedPairs),INDEX(_xlpm.sortedPairs,ROW()-1,2),"")),"")</f>
        <v/>
      </c>
      <c r="N213" s="15">
        <f t="array" ref="N213">IF(OR(L213="",M213=""),"",IFERROR(INDEX($E$2:$E$391,MATCH(1,($A$2:$A$391=L213)*($D$2:$D$391=M213),0)),""))</f>
        <v/>
      </c>
      <c r="O213" s="69">
        <f>IF(OR(L213="",M213=""),"",SUMIFS($J$2:$J$391,$A$2:$A$391,L213,$D$2:$D$391,M213))</f>
        <v/>
      </c>
      <c r="P213" s="6" t="n"/>
    </row>
    <row r="214">
      <c r="A214" s="44" t="inlineStr">
        <is>
          <t>PL202.2</t>
        </is>
      </c>
      <c r="B214" s="44" t="inlineStr">
        <is>
          <t>Ext. A (Out - Chillroll)</t>
        </is>
      </c>
      <c r="C214" s="43" t="inlineStr">
        <is>
          <t>AO-PBS</t>
        </is>
      </c>
      <c r="D214" s="43">
        <f>IF(C214="","",IFERROR(_xlfn.XLOOKUP(C214,HELPER!$A$2:$A$76,HELPER!$B$2:$B$76,""),D214))</f>
        <v/>
      </c>
      <c r="E214" s="43">
        <f>IFERROR(_xlfn.XLOOKUP(D214,HELPER!$B:$B,HELPER!$C:$C,""),"")</f>
        <v/>
      </c>
      <c r="F214" s="42">
        <f>IFERROR(_xlfn.XLOOKUP(D214,HELPER!$B:$B,HELPER!$D:$D,""),"")</f>
        <v/>
      </c>
      <c r="G214" s="42" t="n">
        <v>24</v>
      </c>
      <c r="H214" s="556" t="n">
        <v>0.02</v>
      </c>
      <c r="I214" s="72">
        <f>IF(AND(H214&lt;&gt;"",IFERROR(_xlfn.XLOOKUP(D214,HELPER!$B:$B,HELPER!$E:$E,""),"")=""),"Missing price",IFERROR(_xlfn.XLOOKUP(D214,HELPER!$B:$B,HELPER!$E:$E,"")," "))</f>
        <v/>
      </c>
      <c r="J214" s="72">
        <f>IFERROR(H214*(IF(G214=8,I214*HELPER!$G$2,BOM!I214*HELPER!$G$3))," ")</f>
        <v/>
      </c>
      <c r="K214" s="6" t="n"/>
      <c r="L214" s="14">
        <f t="array" ref="L214">IFERROR(_xlfn.LET(_xlpm.pairs,_xlfn._xlws.FILTER($A$2:$D$391,($A$2:$A$391&lt;&gt;"")*(TRIM($D$2:$D$391)&lt;&gt;"")),_xlpm.uniquePairs,_xlfn.UNIQUE(_xlfn.HSTACK(INDEX(_xlpm.pairs,,1),INDEX(_xlpm.pairs,,4))),_xlpm.sortedPairs,_xlfn._xlws.SORT(_xlpm.uniquePairs,1,1),IF(ROW()-1&lt;=ROWS(_xlpm.sortedPairs),INDEX(_xlpm.sortedPairs,ROW()-1,1),"")),"")</f>
        <v/>
      </c>
      <c r="M214" s="15">
        <f t="array" ref="M214">IFERROR(_xlfn.LET(_xlpm.pairs,_xlfn._xlws.FILTER($A$2:$D$391,($A$2:$A$391&lt;&gt;"")*(TRIM($D$2:$D$391)&lt;&gt;"")),_xlpm.uniquePairs,_xlfn.UNIQUE(_xlfn.HSTACK(INDEX(_xlpm.pairs,,1),INDEX(_xlpm.pairs,,4))),_xlpm.sortedPairs,_xlfn._xlws.SORT(_xlpm.uniquePairs,1,1),IF(ROW()-1&lt;=ROWS(_xlpm.sortedPairs),INDEX(_xlpm.sortedPairs,ROW()-1,2),"")),"")</f>
        <v/>
      </c>
      <c r="N214" s="15">
        <f t="array" ref="N214">IF(OR(L214="",M214=""),"",IFERROR(INDEX($E$2:$E$391,MATCH(1,($A$2:$A$391=L214)*($D$2:$D$391=M214),0)),""))</f>
        <v/>
      </c>
      <c r="O214" s="69">
        <f>IF(OR(L214="",M214=""),"",SUMIFS($J$2:$J$391,$A$2:$A$391,L214,$D$2:$D$391,M214))</f>
        <v/>
      </c>
      <c r="P214" s="6" t="n"/>
    </row>
    <row r="215">
      <c r="A215" s="44" t="inlineStr">
        <is>
          <t>PL202.2</t>
        </is>
      </c>
      <c r="B215" s="44" t="inlineStr">
        <is>
          <t>Ext. A (Out - Chillroll)</t>
        </is>
      </c>
      <c r="C215" s="43" t="n"/>
      <c r="D215" s="43">
        <f>IF(C215="","",IFERROR(_xlfn.XLOOKUP(C215,HELPER!$A$2:$A$76,HELPER!$B$2:$B$76,""),D215))</f>
        <v/>
      </c>
      <c r="E215" s="43">
        <f>IFERROR(_xlfn.XLOOKUP(D215,HELPER!$B:$B,HELPER!$C:$C,""),"")</f>
        <v/>
      </c>
      <c r="F215" s="42">
        <f>IFERROR(_xlfn.XLOOKUP(D215,HELPER!$B:$B,HELPER!$D:$D,""),"")</f>
        <v/>
      </c>
      <c r="G215" s="42" t="n">
        <v>24</v>
      </c>
      <c r="H215" s="556" t="n"/>
      <c r="I215" s="72">
        <f>IF(AND(H215&lt;&gt;"",IFERROR(_xlfn.XLOOKUP(D215,HELPER!$B:$B,HELPER!$E:$E,""),"")=""),"Missing price",IFERROR(_xlfn.XLOOKUP(D215,HELPER!$B:$B,HELPER!$E:$E,"")," "))</f>
        <v/>
      </c>
      <c r="J215" s="72">
        <f>IFERROR(H215*(IF(G215=8,I215*HELPER!$G$2,BOM!I215*HELPER!$G$3))," ")</f>
        <v/>
      </c>
      <c r="K215" s="6" t="n"/>
      <c r="L215" s="14">
        <f t="array" ref="L215">IFERROR(_xlfn.LET(_xlpm.pairs,_xlfn._xlws.FILTER($A$2:$D$391,($A$2:$A$391&lt;&gt;"")*(TRIM($D$2:$D$391)&lt;&gt;"")),_xlpm.uniquePairs,_xlfn.UNIQUE(_xlfn.HSTACK(INDEX(_xlpm.pairs,,1),INDEX(_xlpm.pairs,,4))),_xlpm.sortedPairs,_xlfn._xlws.SORT(_xlpm.uniquePairs,1,1),IF(ROW()-1&lt;=ROWS(_xlpm.sortedPairs),INDEX(_xlpm.sortedPairs,ROW()-1,1),"")),"")</f>
        <v/>
      </c>
      <c r="M215" s="15">
        <f t="array" ref="M215">IFERROR(_xlfn.LET(_xlpm.pairs,_xlfn._xlws.FILTER($A$2:$D$391,($A$2:$A$391&lt;&gt;"")*(TRIM($D$2:$D$391)&lt;&gt;"")),_xlpm.uniquePairs,_xlfn.UNIQUE(_xlfn.HSTACK(INDEX(_xlpm.pairs,,1),INDEX(_xlpm.pairs,,4))),_xlpm.sortedPairs,_xlfn._xlws.SORT(_xlpm.uniquePairs,1,1),IF(ROW()-1&lt;=ROWS(_xlpm.sortedPairs),INDEX(_xlpm.sortedPairs,ROW()-1,2),"")),"")</f>
        <v/>
      </c>
      <c r="N215" s="15">
        <f t="array" ref="N215">IF(OR(L215="",M215=""),"",IFERROR(INDEX($E$2:$E$391,MATCH(1,($A$2:$A$391=L215)*($D$2:$D$391=M215),0)),""))</f>
        <v/>
      </c>
      <c r="O215" s="69">
        <f>IF(OR(L215="",M215=""),"",SUMIFS($J$2:$J$391,$A$2:$A$391,L215,$D$2:$D$391,M215))</f>
        <v/>
      </c>
      <c r="P215" s="6" t="n"/>
    </row>
    <row r="216">
      <c r="A216" s="44" t="inlineStr">
        <is>
          <t>PL202.2</t>
        </is>
      </c>
      <c r="B216" s="44" t="inlineStr">
        <is>
          <t>Ext. A (Out - Chillroll)</t>
        </is>
      </c>
      <c r="C216" s="43" t="n"/>
      <c r="D216" s="43">
        <f>IF(C216="","",IFERROR(_xlfn.XLOOKUP(C216,HELPER!$A$2:$A$76,HELPER!$B$2:$B$76,""),D216))</f>
        <v/>
      </c>
      <c r="E216" s="43">
        <f>IFERROR(_xlfn.XLOOKUP(D216,HELPER!$B:$B,HELPER!$C:$C,""),"")</f>
        <v/>
      </c>
      <c r="F216" s="42">
        <f>IFERROR(_xlfn.XLOOKUP(D216,HELPER!$B:$B,HELPER!$D:$D,""),"")</f>
        <v/>
      </c>
      <c r="G216" s="42" t="n">
        <v>24</v>
      </c>
      <c r="H216" s="556" t="n"/>
      <c r="I216" s="72">
        <f>IF(AND(H216&lt;&gt;"",IFERROR(_xlfn.XLOOKUP(D216,HELPER!$B:$B,HELPER!$E:$E,""),"")=""),"Missing price",IFERROR(_xlfn.XLOOKUP(D216,HELPER!$B:$B,HELPER!$E:$E,"")," "))</f>
        <v/>
      </c>
      <c r="J216" s="72">
        <f>IFERROR(H216*(IF(G216=8,I216*HELPER!$G$2,BOM!I216*HELPER!$G$3))," ")</f>
        <v/>
      </c>
      <c r="K216" s="6" t="n"/>
      <c r="L216" s="14">
        <f t="array" ref="L216">IFERROR(_xlfn.LET(_xlpm.pairs,_xlfn._xlws.FILTER($A$2:$D$391,($A$2:$A$391&lt;&gt;"")*(TRIM($D$2:$D$391)&lt;&gt;"")),_xlpm.uniquePairs,_xlfn.UNIQUE(_xlfn.HSTACK(INDEX(_xlpm.pairs,,1),INDEX(_xlpm.pairs,,4))),_xlpm.sortedPairs,_xlfn._xlws.SORT(_xlpm.uniquePairs,1,1),IF(ROW()-1&lt;=ROWS(_xlpm.sortedPairs),INDEX(_xlpm.sortedPairs,ROW()-1,1),"")),"")</f>
        <v/>
      </c>
      <c r="M216" s="15">
        <f t="array" ref="M216">IFERROR(_xlfn.LET(_xlpm.pairs,_xlfn._xlws.FILTER($A$2:$D$391,($A$2:$A$391&lt;&gt;"")*(TRIM($D$2:$D$391)&lt;&gt;"")),_xlpm.uniquePairs,_xlfn.UNIQUE(_xlfn.HSTACK(INDEX(_xlpm.pairs,,1),INDEX(_xlpm.pairs,,4))),_xlpm.sortedPairs,_xlfn._xlws.SORT(_xlpm.uniquePairs,1,1),IF(ROW()-1&lt;=ROWS(_xlpm.sortedPairs),INDEX(_xlpm.sortedPairs,ROW()-1,2),"")),"")</f>
        <v/>
      </c>
      <c r="N216" s="15">
        <f t="array" ref="N216">IF(OR(L216="",M216=""),"",IFERROR(INDEX($E$2:$E$391,MATCH(1,($A$2:$A$391=L216)*($D$2:$D$391=M216),0)),""))</f>
        <v/>
      </c>
      <c r="O216" s="69">
        <f>IF(OR(L216="",M216=""),"",SUMIFS($J$2:$J$391,$A$2:$A$391,L216,$D$2:$D$391,M216))</f>
        <v/>
      </c>
      <c r="P216" s="6" t="n"/>
    </row>
    <row r="217">
      <c r="A217" s="44" t="inlineStr">
        <is>
          <t>PL202.2</t>
        </is>
      </c>
      <c r="B217" s="44" t="inlineStr">
        <is>
          <t>Ext. A (Out - Chillroll)</t>
        </is>
      </c>
      <c r="C217" s="43" t="n"/>
      <c r="D217" s="43">
        <f>IF(C217="","",IFERROR(_xlfn.XLOOKUP(C217,HELPER!$A$2:$A$76,HELPER!$B$2:$B$76,""),D217))</f>
        <v/>
      </c>
      <c r="E217" s="43">
        <f>IFERROR(_xlfn.XLOOKUP(D217,HELPER!$B:$B,HELPER!$C:$C,""),"")</f>
        <v/>
      </c>
      <c r="F217" s="42">
        <f>IFERROR(_xlfn.XLOOKUP(D217,HELPER!$B:$B,HELPER!$D:$D,""),"")</f>
        <v/>
      </c>
      <c r="G217" s="42" t="n">
        <v>24</v>
      </c>
      <c r="H217" s="556" t="n"/>
      <c r="I217" s="72">
        <f>IF(AND(H217&lt;&gt;"",IFERROR(_xlfn.XLOOKUP(D217,HELPER!$B:$B,HELPER!$E:$E,""),"")=""),"Missing price",IFERROR(_xlfn.XLOOKUP(D217,HELPER!$B:$B,HELPER!$E:$E,"")," "))</f>
        <v/>
      </c>
      <c r="J217" s="72">
        <f>IFERROR(H217*(IF(G217=8,I217*HELPER!$G$2,BOM!I217*HELPER!$G$3))," ")</f>
        <v/>
      </c>
      <c r="K217" s="6" t="n"/>
      <c r="L217" s="14">
        <f t="array" ref="L217">IFERROR(_xlfn.LET(_xlpm.pairs,_xlfn._xlws.FILTER($A$2:$D$391,($A$2:$A$391&lt;&gt;"")*(TRIM($D$2:$D$391)&lt;&gt;"")),_xlpm.uniquePairs,_xlfn.UNIQUE(_xlfn.HSTACK(INDEX(_xlpm.pairs,,1),INDEX(_xlpm.pairs,,4))),_xlpm.sortedPairs,_xlfn._xlws.SORT(_xlpm.uniquePairs,1,1),IF(ROW()-1&lt;=ROWS(_xlpm.sortedPairs),INDEX(_xlpm.sortedPairs,ROW()-1,1),"")),"")</f>
        <v/>
      </c>
      <c r="M217" s="15">
        <f t="array" ref="M217">IFERROR(_xlfn.LET(_xlpm.pairs,_xlfn._xlws.FILTER($A$2:$D$391,($A$2:$A$391&lt;&gt;"")*(TRIM($D$2:$D$391)&lt;&gt;"")),_xlpm.uniquePairs,_xlfn.UNIQUE(_xlfn.HSTACK(INDEX(_xlpm.pairs,,1),INDEX(_xlpm.pairs,,4))),_xlpm.sortedPairs,_xlfn._xlws.SORT(_xlpm.uniquePairs,1,1),IF(ROW()-1&lt;=ROWS(_xlpm.sortedPairs),INDEX(_xlpm.sortedPairs,ROW()-1,2),"")),"")</f>
        <v/>
      </c>
      <c r="N217" s="15">
        <f t="array" ref="N217">IF(OR(L217="",M217=""),"",IFERROR(INDEX($E$2:$E$391,MATCH(1,($A$2:$A$391=L217)*($D$2:$D$391=M217),0)),""))</f>
        <v/>
      </c>
      <c r="O217" s="69">
        <f>IF(OR(L217="",M217=""),"",SUMIFS($J$2:$J$391,$A$2:$A$391,L217,$D$2:$D$391,M217))</f>
        <v/>
      </c>
      <c r="P217" s="6" t="n"/>
    </row>
    <row r="218">
      <c r="A218" s="44" t="inlineStr">
        <is>
          <t>PL202.2</t>
        </is>
      </c>
      <c r="B218" s="44" t="inlineStr">
        <is>
          <t>Ext. A (Out - Chillroll)</t>
        </is>
      </c>
      <c r="C218" s="43" t="n"/>
      <c r="D218" s="43">
        <f>IF(C218="","",IFERROR(_xlfn.XLOOKUP(C218,HELPER!$A$2:$A$76,HELPER!$B$2:$B$76,""),D218))</f>
        <v/>
      </c>
      <c r="E218" s="43">
        <f>IFERROR(_xlfn.XLOOKUP(D218,HELPER!$B:$B,HELPER!$C:$C,""),"")</f>
        <v/>
      </c>
      <c r="F218" s="42">
        <f>IFERROR(_xlfn.XLOOKUP(D218,HELPER!$B:$B,HELPER!$D:$D,""),"")</f>
        <v/>
      </c>
      <c r="G218" s="42" t="n">
        <v>24</v>
      </c>
      <c r="H218" s="556" t="n"/>
      <c r="I218" s="72">
        <f>IF(AND(H218&lt;&gt;"",IFERROR(_xlfn.XLOOKUP(D218,HELPER!$B:$B,HELPER!$E:$E,""),"")=""),"Missing price",IFERROR(_xlfn.XLOOKUP(D218,HELPER!$B:$B,HELPER!$E:$E,"")," "))</f>
        <v/>
      </c>
      <c r="J218" s="72">
        <f>IFERROR(H218*(IF(G218=8,I218*HELPER!$G$2,BOM!I218*HELPER!$G$3))," ")</f>
        <v/>
      </c>
      <c r="K218" s="6" t="n"/>
      <c r="L218" s="14">
        <f t="array" ref="L218">IFERROR(_xlfn.LET(_xlpm.pairs,_xlfn._xlws.FILTER($A$2:$D$391,($A$2:$A$391&lt;&gt;"")*(TRIM($D$2:$D$391)&lt;&gt;"")),_xlpm.uniquePairs,_xlfn.UNIQUE(_xlfn.HSTACK(INDEX(_xlpm.pairs,,1),INDEX(_xlpm.pairs,,4))),_xlpm.sortedPairs,_xlfn._xlws.SORT(_xlpm.uniquePairs,1,1),IF(ROW()-1&lt;=ROWS(_xlpm.sortedPairs),INDEX(_xlpm.sortedPairs,ROW()-1,1),"")),"")</f>
        <v/>
      </c>
      <c r="M218" s="15">
        <f t="array" ref="M218">IFERROR(_xlfn.LET(_xlpm.pairs,_xlfn._xlws.FILTER($A$2:$D$391,($A$2:$A$391&lt;&gt;"")*(TRIM($D$2:$D$391)&lt;&gt;"")),_xlpm.uniquePairs,_xlfn.UNIQUE(_xlfn.HSTACK(INDEX(_xlpm.pairs,,1),INDEX(_xlpm.pairs,,4))),_xlpm.sortedPairs,_xlfn._xlws.SORT(_xlpm.uniquePairs,1,1),IF(ROW()-1&lt;=ROWS(_xlpm.sortedPairs),INDEX(_xlpm.sortedPairs,ROW()-1,2),"")),"")</f>
        <v/>
      </c>
      <c r="N218" s="15">
        <f t="array" ref="N218">IF(OR(L218="",M218=""),"",IFERROR(INDEX($E$2:$E$391,MATCH(1,($A$2:$A$391=L218)*($D$2:$D$391=M218),0)),""))</f>
        <v/>
      </c>
      <c r="O218" s="69">
        <f>IF(OR(L218="",M218=""),"",SUMIFS($J$2:$J$391,$A$2:$A$391,L218,$D$2:$D$391,M218))</f>
        <v/>
      </c>
      <c r="P218" s="6" t="n"/>
    </row>
    <row r="219">
      <c r="A219" s="44" t="inlineStr">
        <is>
          <t>PL202.2</t>
        </is>
      </c>
      <c r="B219" s="44" t="inlineStr">
        <is>
          <t>Ext. A (Out - Chillroll)</t>
        </is>
      </c>
      <c r="C219" s="43" t="n"/>
      <c r="D219" s="43">
        <f>IF(C219="","",IFERROR(_xlfn.XLOOKUP(C219,HELPER!$A$2:$A$76,HELPER!$B$2:$B$76,""),D219))</f>
        <v/>
      </c>
      <c r="E219" s="43">
        <f>IFERROR(_xlfn.XLOOKUP(D219,HELPER!$B:$B,HELPER!$C:$C,""),"")</f>
        <v/>
      </c>
      <c r="F219" s="42">
        <f>IFERROR(_xlfn.XLOOKUP(D219,HELPER!$B:$B,HELPER!$D:$D,""),"")</f>
        <v/>
      </c>
      <c r="G219" s="42" t="n">
        <v>24</v>
      </c>
      <c r="H219" s="556" t="n"/>
      <c r="I219" s="72">
        <f>IF(AND(H219&lt;&gt;"",IFERROR(_xlfn.XLOOKUP(D219,HELPER!$B:$B,HELPER!$E:$E,""),"")=""),"Missing price",IFERROR(_xlfn.XLOOKUP(D219,HELPER!$B:$B,HELPER!$E:$E,"")," "))</f>
        <v/>
      </c>
      <c r="J219" s="72">
        <f>IFERROR(H219*(IF(G219=8,I219*HELPER!$G$2,BOM!I219*HELPER!$G$3))," ")</f>
        <v/>
      </c>
      <c r="K219" s="6" t="n"/>
      <c r="L219" s="14">
        <f t="array" ref="L219">IFERROR(_xlfn.LET(_xlpm.pairs,_xlfn._xlws.FILTER($A$2:$D$391,($A$2:$A$391&lt;&gt;"")*(TRIM($D$2:$D$391)&lt;&gt;"")),_xlpm.uniquePairs,_xlfn.UNIQUE(_xlfn.HSTACK(INDEX(_xlpm.pairs,,1),INDEX(_xlpm.pairs,,4))),_xlpm.sortedPairs,_xlfn._xlws.SORT(_xlpm.uniquePairs,1,1),IF(ROW()-1&lt;=ROWS(_xlpm.sortedPairs),INDEX(_xlpm.sortedPairs,ROW()-1,1),"")),"")</f>
        <v/>
      </c>
      <c r="M219" s="15">
        <f t="array" ref="M219">IFERROR(_xlfn.LET(_xlpm.pairs,_xlfn._xlws.FILTER($A$2:$D$391,($A$2:$A$391&lt;&gt;"")*(TRIM($D$2:$D$391)&lt;&gt;"")),_xlpm.uniquePairs,_xlfn.UNIQUE(_xlfn.HSTACK(INDEX(_xlpm.pairs,,1),INDEX(_xlpm.pairs,,4))),_xlpm.sortedPairs,_xlfn._xlws.SORT(_xlpm.uniquePairs,1,1),IF(ROW()-1&lt;=ROWS(_xlpm.sortedPairs),INDEX(_xlpm.sortedPairs,ROW()-1,2),"")),"")</f>
        <v/>
      </c>
      <c r="N219" s="15">
        <f t="array" ref="N219">IF(OR(L219="",M219=""),"",IFERROR(INDEX($E$2:$E$391,MATCH(1,($A$2:$A$391=L219)*($D$2:$D$391=M219),0)),""))</f>
        <v/>
      </c>
      <c r="O219" s="69">
        <f>IF(OR(L219="",M219=""),"",SUMIFS($J$2:$J$391,$A$2:$A$391,L219,$D$2:$D$391,M219))</f>
        <v/>
      </c>
      <c r="P219" s="6" t="n"/>
    </row>
    <row r="220">
      <c r="A220" s="44" t="inlineStr">
        <is>
          <t>PL202.2</t>
        </is>
      </c>
      <c r="B220" s="44" t="inlineStr">
        <is>
          <t>Ext. A (Out - Chillroll)</t>
        </is>
      </c>
      <c r="C220" s="43" t="n"/>
      <c r="D220" s="43">
        <f>IF(C220="","",IFERROR(_xlfn.XLOOKUP(C220,HELPER!$A$2:$A$76,HELPER!$B$2:$B$76,""),D220))</f>
        <v/>
      </c>
      <c r="E220" s="43">
        <f>IFERROR(_xlfn.XLOOKUP(D220,HELPER!$B:$B,HELPER!$C:$C,""),"")</f>
        <v/>
      </c>
      <c r="F220" s="42">
        <f>IFERROR(_xlfn.XLOOKUP(D220,HELPER!$B:$B,HELPER!$D:$D,""),"")</f>
        <v/>
      </c>
      <c r="G220" s="42" t="n">
        <v>24</v>
      </c>
      <c r="H220" s="556" t="n"/>
      <c r="I220" s="72">
        <f>IF(AND(H220&lt;&gt;"",IFERROR(_xlfn.XLOOKUP(D220,HELPER!$B:$B,HELPER!$E:$E,""),"")=""),"Missing price",IFERROR(_xlfn.XLOOKUP(D220,HELPER!$B:$B,HELPER!$E:$E,"")," "))</f>
        <v/>
      </c>
      <c r="J220" s="72">
        <f>IFERROR(H220*(IF(G220=8,I220*HELPER!$G$2,BOM!I220*HELPER!$G$3))," ")</f>
        <v/>
      </c>
      <c r="K220" s="6" t="n"/>
      <c r="L220" s="14">
        <f t="array" ref="L220">IFERROR(_xlfn.LET(_xlpm.pairs,_xlfn._xlws.FILTER($A$2:$D$391,($A$2:$A$391&lt;&gt;"")*(TRIM($D$2:$D$391)&lt;&gt;"")),_xlpm.uniquePairs,_xlfn.UNIQUE(_xlfn.HSTACK(INDEX(_xlpm.pairs,,1),INDEX(_xlpm.pairs,,4))),_xlpm.sortedPairs,_xlfn._xlws.SORT(_xlpm.uniquePairs,1,1),IF(ROW()-1&lt;=ROWS(_xlpm.sortedPairs),INDEX(_xlpm.sortedPairs,ROW()-1,1),"")),"")</f>
        <v/>
      </c>
      <c r="M220" s="15">
        <f t="array" ref="M220">IFERROR(_xlfn.LET(_xlpm.pairs,_xlfn._xlws.FILTER($A$2:$D$391,($A$2:$A$391&lt;&gt;"")*(TRIM($D$2:$D$391)&lt;&gt;"")),_xlpm.uniquePairs,_xlfn.UNIQUE(_xlfn.HSTACK(INDEX(_xlpm.pairs,,1),INDEX(_xlpm.pairs,,4))),_xlpm.sortedPairs,_xlfn._xlws.SORT(_xlpm.uniquePairs,1,1),IF(ROW()-1&lt;=ROWS(_xlpm.sortedPairs),INDEX(_xlpm.sortedPairs,ROW()-1,2),"")),"")</f>
        <v/>
      </c>
      <c r="N220" s="15">
        <f t="array" ref="N220">IF(OR(L220="",M220=""),"",IFERROR(INDEX($E$2:$E$391,MATCH(1,($A$2:$A$391=L220)*($D$2:$D$391=M220),0)),""))</f>
        <v/>
      </c>
      <c r="O220" s="69">
        <f>IF(OR(L220="",M220=""),"",SUMIFS($J$2:$J$391,$A$2:$A$391,L220,$D$2:$D$391,M220))</f>
        <v/>
      </c>
      <c r="P220" s="6" t="n"/>
    </row>
    <row r="221">
      <c r="A221" s="44" t="inlineStr">
        <is>
          <t>PL202.2</t>
        </is>
      </c>
      <c r="B221" s="44" t="inlineStr">
        <is>
          <t>Ext. A (Out - Chillroll)</t>
        </is>
      </c>
      <c r="C221" s="43" t="n"/>
      <c r="D221" s="43">
        <f>IF(C221="","",IFERROR(_xlfn.XLOOKUP(C221,HELPER!$A$2:$A$76,HELPER!$B$2:$B$76,""),D221))</f>
        <v/>
      </c>
      <c r="E221" s="43">
        <f>IFERROR(_xlfn.XLOOKUP(D221,HELPER!$B:$B,HELPER!$C:$C,""),"")</f>
        <v/>
      </c>
      <c r="F221" s="42">
        <f>IFERROR(_xlfn.XLOOKUP(D221,HELPER!$B:$B,HELPER!$D:$D,""),"")</f>
        <v/>
      </c>
      <c r="G221" s="42" t="n">
        <v>24</v>
      </c>
      <c r="H221" s="556" t="n"/>
      <c r="I221" s="72">
        <f>IF(AND(H221&lt;&gt;"",IFERROR(_xlfn.XLOOKUP(D221,HELPER!$B:$B,HELPER!$E:$E,""),"")=""),"Missing price",IFERROR(_xlfn.XLOOKUP(D221,HELPER!$B:$B,HELPER!$E:$E,"")," "))</f>
        <v/>
      </c>
      <c r="J221" s="72">
        <f>IFERROR(H221*(IF(G221=8,I221*HELPER!$G$2,BOM!I221*HELPER!$G$3))," ")</f>
        <v/>
      </c>
      <c r="K221" s="6" t="n"/>
      <c r="L221" s="14">
        <f t="array" ref="L221">IFERROR(_xlfn.LET(_xlpm.pairs,_xlfn._xlws.FILTER($A$2:$D$391,($A$2:$A$391&lt;&gt;"")*(TRIM($D$2:$D$391)&lt;&gt;"")),_xlpm.uniquePairs,_xlfn.UNIQUE(_xlfn.HSTACK(INDEX(_xlpm.pairs,,1),INDEX(_xlpm.pairs,,4))),_xlpm.sortedPairs,_xlfn._xlws.SORT(_xlpm.uniquePairs,1,1),IF(ROW()-1&lt;=ROWS(_xlpm.sortedPairs),INDEX(_xlpm.sortedPairs,ROW()-1,1),"")),"")</f>
        <v/>
      </c>
      <c r="M221" s="15">
        <f t="array" ref="M221">IFERROR(_xlfn.LET(_xlpm.pairs,_xlfn._xlws.FILTER($A$2:$D$391,($A$2:$A$391&lt;&gt;"")*(TRIM($D$2:$D$391)&lt;&gt;"")),_xlpm.uniquePairs,_xlfn.UNIQUE(_xlfn.HSTACK(INDEX(_xlpm.pairs,,1),INDEX(_xlpm.pairs,,4))),_xlpm.sortedPairs,_xlfn._xlws.SORT(_xlpm.uniquePairs,1,1),IF(ROW()-1&lt;=ROWS(_xlpm.sortedPairs),INDEX(_xlpm.sortedPairs,ROW()-1,2),"")),"")</f>
        <v/>
      </c>
      <c r="N221" s="15">
        <f t="array" ref="N221">IF(OR(L221="",M221=""),"",IFERROR(INDEX($E$2:$E$391,MATCH(1,($A$2:$A$391=L221)*($D$2:$D$391=M221),0)),""))</f>
        <v/>
      </c>
      <c r="O221" s="69">
        <f>IF(OR(L221="",M221=""),"",SUMIFS($J$2:$J$391,$A$2:$A$391,L221,$D$2:$D$391,M221))</f>
        <v/>
      </c>
      <c r="P221" s="6" t="n"/>
    </row>
    <row r="222">
      <c r="A222" s="44" t="inlineStr">
        <is>
          <t>PL202.2</t>
        </is>
      </c>
      <c r="B222" s="44" t="inlineStr">
        <is>
          <t xml:space="preserve">Ext. B </t>
        </is>
      </c>
      <c r="C222" s="43" t="inlineStr">
        <is>
          <t>PVOH</t>
        </is>
      </c>
      <c r="D222" s="43">
        <f>IF(C222="","",IFERROR(_xlfn.XLOOKUP(C222,HELPER!$A$2:$A$76,HELPER!$B$2:$B$76,""),D222))</f>
        <v/>
      </c>
      <c r="E222" s="43">
        <f>IFERROR(_xlfn.XLOOKUP(D222,HELPER!$B:$B,HELPER!$C:$C,""),"")</f>
        <v/>
      </c>
      <c r="F222" s="42">
        <f>IFERROR(_xlfn.XLOOKUP(D222,HELPER!$B:$B,HELPER!$D:$D,""),"")</f>
        <v/>
      </c>
      <c r="G222" s="42" t="n">
        <v>8</v>
      </c>
      <c r="H222" s="556" t="n">
        <v>0.98</v>
      </c>
      <c r="I222" s="72">
        <f>IF(AND(H222&lt;&gt;"",IFERROR(_xlfn.XLOOKUP(D222,HELPER!$B:$B,HELPER!$E:$E,""),"")=""),"Missing price",IFERROR(_xlfn.XLOOKUP(D222,HELPER!$B:$B,HELPER!$E:$E,"")," "))</f>
        <v/>
      </c>
      <c r="J222" s="72">
        <f>IFERROR(H222*(IF(G222=8,I222*HELPER!$G$2,BOM!I222*HELPER!$G$3))," ")</f>
        <v/>
      </c>
      <c r="K222" s="6" t="n"/>
      <c r="L222" s="14">
        <f t="array" ref="L222">IFERROR(_xlfn.LET(_xlpm.pairs,_xlfn._xlws.FILTER($A$2:$D$391,($A$2:$A$391&lt;&gt;"")*(TRIM($D$2:$D$391)&lt;&gt;"")),_xlpm.uniquePairs,_xlfn.UNIQUE(_xlfn.HSTACK(INDEX(_xlpm.pairs,,1),INDEX(_xlpm.pairs,,4))),_xlpm.sortedPairs,_xlfn._xlws.SORT(_xlpm.uniquePairs,1,1),IF(ROW()-1&lt;=ROWS(_xlpm.sortedPairs),INDEX(_xlpm.sortedPairs,ROW()-1,1),"")),"")</f>
        <v/>
      </c>
      <c r="M222" s="15">
        <f t="array" ref="M222">IFERROR(_xlfn.LET(_xlpm.pairs,_xlfn._xlws.FILTER($A$2:$D$391,($A$2:$A$391&lt;&gt;"")*(TRIM($D$2:$D$391)&lt;&gt;"")),_xlpm.uniquePairs,_xlfn.UNIQUE(_xlfn.HSTACK(INDEX(_xlpm.pairs,,1),INDEX(_xlpm.pairs,,4))),_xlpm.sortedPairs,_xlfn._xlws.SORT(_xlpm.uniquePairs,1,1),IF(ROW()-1&lt;=ROWS(_xlpm.sortedPairs),INDEX(_xlpm.sortedPairs,ROW()-1,2),"")),"")</f>
        <v/>
      </c>
      <c r="N222" s="15">
        <f t="array" ref="N222">IF(OR(L222="",M222=""),"",IFERROR(INDEX($E$2:$E$391,MATCH(1,($A$2:$A$391=L222)*($D$2:$D$391=M222),0)),""))</f>
        <v/>
      </c>
      <c r="O222" s="69">
        <f>IF(OR(L222="",M222=""),"",SUMIFS($J$2:$J$391,$A$2:$A$391,L222,$D$2:$D$391,M222))</f>
        <v/>
      </c>
      <c r="P222" s="6" t="n"/>
    </row>
    <row r="223">
      <c r="A223" s="44" t="inlineStr">
        <is>
          <t>PL202.2</t>
        </is>
      </c>
      <c r="B223" s="44" t="inlineStr">
        <is>
          <t xml:space="preserve">Ext. B </t>
        </is>
      </c>
      <c r="C223" s="43" t="inlineStr">
        <is>
          <t>AO-PBS</t>
        </is>
      </c>
      <c r="D223" s="43">
        <f>IF(C223="","",IFERROR(_xlfn.XLOOKUP(C223,HELPER!$A$2:$A$76,HELPER!$B$2:$B$76,""),D223))</f>
        <v/>
      </c>
      <c r="E223" s="43">
        <f>IFERROR(_xlfn.XLOOKUP(D223,HELPER!$B:$B,HELPER!$C:$C,""),"")</f>
        <v/>
      </c>
      <c r="F223" s="42">
        <f>IFERROR(_xlfn.XLOOKUP(D223,HELPER!$B:$B,HELPER!$D:$D,""),"")</f>
        <v/>
      </c>
      <c r="G223" s="42" t="n">
        <v>8</v>
      </c>
      <c r="H223" s="556" t="n">
        <v>0.02</v>
      </c>
      <c r="I223" s="72">
        <f>IF(AND(H223&lt;&gt;"",IFERROR(_xlfn.XLOOKUP(D223,HELPER!$B:$B,HELPER!$E:$E,""),"")=""),"Missing price",IFERROR(_xlfn.XLOOKUP(D223,HELPER!$B:$B,HELPER!$E:$E,"")," "))</f>
        <v/>
      </c>
      <c r="J223" s="72">
        <f>IFERROR(H223*(IF(G223=8,I223*HELPER!$G$2,BOM!I223*HELPER!$G$3))," ")</f>
        <v/>
      </c>
      <c r="K223" s="6" t="n"/>
      <c r="L223" s="14">
        <f t="array" ref="L223">IFERROR(_xlfn.LET(_xlpm.pairs,_xlfn._xlws.FILTER($A$2:$D$391,($A$2:$A$391&lt;&gt;"")*(TRIM($D$2:$D$391)&lt;&gt;"")),_xlpm.uniquePairs,_xlfn.UNIQUE(_xlfn.HSTACK(INDEX(_xlpm.pairs,,1),INDEX(_xlpm.pairs,,4))),_xlpm.sortedPairs,_xlfn._xlws.SORT(_xlpm.uniquePairs,1,1),IF(ROW()-1&lt;=ROWS(_xlpm.sortedPairs),INDEX(_xlpm.sortedPairs,ROW()-1,1),"")),"")</f>
        <v/>
      </c>
      <c r="M223" s="15">
        <f t="array" ref="M223">IFERROR(_xlfn.LET(_xlpm.pairs,_xlfn._xlws.FILTER($A$2:$D$391,($A$2:$A$391&lt;&gt;"")*(TRIM($D$2:$D$391)&lt;&gt;"")),_xlpm.uniquePairs,_xlfn.UNIQUE(_xlfn.HSTACK(INDEX(_xlpm.pairs,,1),INDEX(_xlpm.pairs,,4))),_xlpm.sortedPairs,_xlfn._xlws.SORT(_xlpm.uniquePairs,1,1),IF(ROW()-1&lt;=ROWS(_xlpm.sortedPairs),INDEX(_xlpm.sortedPairs,ROW()-1,2),"")),"")</f>
        <v/>
      </c>
      <c r="N223" s="15">
        <f t="array" ref="N223">IF(OR(L223="",M223=""),"",IFERROR(INDEX($E$2:$E$391,MATCH(1,($A$2:$A$391=L223)*($D$2:$D$391=M223),0)),""))</f>
        <v/>
      </c>
      <c r="O223" s="69">
        <f>IF(OR(L223="",M223=""),"",SUMIFS($J$2:$J$391,$A$2:$A$391,L223,$D$2:$D$391,M223))</f>
        <v/>
      </c>
      <c r="P223" s="6" t="n"/>
    </row>
    <row r="224">
      <c r="A224" s="44" t="inlineStr">
        <is>
          <t>PL202.2</t>
        </is>
      </c>
      <c r="B224" s="44" t="inlineStr">
        <is>
          <t xml:space="preserve">Ext. B </t>
        </is>
      </c>
      <c r="C224" s="43" t="n"/>
      <c r="D224" s="43">
        <f>IF(C224="","",IFERROR(_xlfn.XLOOKUP(C224,HELPER!$A$2:$A$76,HELPER!$B$2:$B$76,""),D224))</f>
        <v/>
      </c>
      <c r="E224" s="43">
        <f>IFERROR(_xlfn.XLOOKUP(D224,HELPER!$B:$B,HELPER!$C:$C,""),"")</f>
        <v/>
      </c>
      <c r="F224" s="42">
        <f>IFERROR(_xlfn.XLOOKUP(D224,HELPER!$B:$B,HELPER!$D:$D,""),"")</f>
        <v/>
      </c>
      <c r="G224" s="42" t="n">
        <v>8</v>
      </c>
      <c r="H224" s="556" t="n"/>
      <c r="I224" s="72">
        <f>IF(AND(H224&lt;&gt;"",IFERROR(_xlfn.XLOOKUP(D224,HELPER!$B:$B,HELPER!$E:$E,""),"")=""),"Missing price",IFERROR(_xlfn.XLOOKUP(D224,HELPER!$B:$B,HELPER!$E:$E,"")," "))</f>
        <v/>
      </c>
      <c r="J224" s="72">
        <f>IFERROR(H224*(IF(G224=8,I224*HELPER!$G$2,BOM!I224*HELPER!$G$3))," ")</f>
        <v/>
      </c>
      <c r="K224" s="6" t="n"/>
      <c r="L224" s="14">
        <f t="array" ref="L224">IFERROR(_xlfn.LET(_xlpm.pairs,_xlfn._xlws.FILTER($A$2:$D$391,($A$2:$A$391&lt;&gt;"")*(TRIM($D$2:$D$391)&lt;&gt;"")),_xlpm.uniquePairs,_xlfn.UNIQUE(_xlfn.HSTACK(INDEX(_xlpm.pairs,,1),INDEX(_xlpm.pairs,,4))),_xlpm.sortedPairs,_xlfn._xlws.SORT(_xlpm.uniquePairs,1,1),IF(ROW()-1&lt;=ROWS(_xlpm.sortedPairs),INDEX(_xlpm.sortedPairs,ROW()-1,1),"")),"")</f>
        <v/>
      </c>
      <c r="M224" s="15">
        <f t="array" ref="M224">IFERROR(_xlfn.LET(_xlpm.pairs,_xlfn._xlws.FILTER($A$2:$D$391,($A$2:$A$391&lt;&gt;"")*(TRIM($D$2:$D$391)&lt;&gt;"")),_xlpm.uniquePairs,_xlfn.UNIQUE(_xlfn.HSTACK(INDEX(_xlpm.pairs,,1),INDEX(_xlpm.pairs,,4))),_xlpm.sortedPairs,_xlfn._xlws.SORT(_xlpm.uniquePairs,1,1),IF(ROW()-1&lt;=ROWS(_xlpm.sortedPairs),INDEX(_xlpm.sortedPairs,ROW()-1,2),"")),"")</f>
        <v/>
      </c>
      <c r="N224" s="15">
        <f t="array" ref="N224">IF(OR(L224="",M224=""),"",IFERROR(INDEX($E$2:$E$391,MATCH(1,($A$2:$A$391=L224)*($D$2:$D$391=M224),0)),""))</f>
        <v/>
      </c>
      <c r="O224" s="69">
        <f>IF(OR(L224="",M224=""),"",SUMIFS($J$2:$J$391,$A$2:$A$391,L224,$D$2:$D$391,M224))</f>
        <v/>
      </c>
      <c r="P224" s="6" t="n"/>
    </row>
    <row r="225">
      <c r="A225" s="44" t="inlineStr">
        <is>
          <t>PL202.2</t>
        </is>
      </c>
      <c r="B225" s="44" t="inlineStr">
        <is>
          <t xml:space="preserve">Ext. B </t>
        </is>
      </c>
      <c r="C225" s="43" t="n"/>
      <c r="D225" s="43">
        <f>IF(C225="","",IFERROR(_xlfn.XLOOKUP(C225,HELPER!$A$2:$A$76,HELPER!$B$2:$B$76,""),D225))</f>
        <v/>
      </c>
      <c r="E225" s="43">
        <f>IFERROR(_xlfn.XLOOKUP(D225,HELPER!$B:$B,HELPER!$C:$C,""),"")</f>
        <v/>
      </c>
      <c r="F225" s="42">
        <f>IFERROR(_xlfn.XLOOKUP(D225,HELPER!$B:$B,HELPER!$D:$D,""),"")</f>
        <v/>
      </c>
      <c r="G225" s="42" t="n">
        <v>8</v>
      </c>
      <c r="H225" s="556" t="n"/>
      <c r="I225" s="72">
        <f>IF(AND(H225&lt;&gt;"",IFERROR(_xlfn.XLOOKUP(D225,HELPER!$B:$B,HELPER!$E:$E,""),"")=""),"Missing price",IFERROR(_xlfn.XLOOKUP(D225,HELPER!$B:$B,HELPER!$E:$E,"")," "))</f>
        <v/>
      </c>
      <c r="J225" s="72">
        <f>IFERROR(H225*(IF(G225=8,I225*HELPER!$G$2,BOM!I225*HELPER!$G$3))," ")</f>
        <v/>
      </c>
      <c r="K225" s="6" t="n"/>
      <c r="L225" s="14">
        <f t="array" ref="L225">IFERROR(_xlfn.LET(_xlpm.pairs,_xlfn._xlws.FILTER($A$2:$D$391,($A$2:$A$391&lt;&gt;"")*(TRIM($D$2:$D$391)&lt;&gt;"")),_xlpm.uniquePairs,_xlfn.UNIQUE(_xlfn.HSTACK(INDEX(_xlpm.pairs,,1),INDEX(_xlpm.pairs,,4))),_xlpm.sortedPairs,_xlfn._xlws.SORT(_xlpm.uniquePairs,1,1),IF(ROW()-1&lt;=ROWS(_xlpm.sortedPairs),INDEX(_xlpm.sortedPairs,ROW()-1,1),"")),"")</f>
        <v/>
      </c>
      <c r="M225" s="15">
        <f t="array" ref="M225">IFERROR(_xlfn.LET(_xlpm.pairs,_xlfn._xlws.FILTER($A$2:$D$391,($A$2:$A$391&lt;&gt;"")*(TRIM($D$2:$D$391)&lt;&gt;"")),_xlpm.uniquePairs,_xlfn.UNIQUE(_xlfn.HSTACK(INDEX(_xlpm.pairs,,1),INDEX(_xlpm.pairs,,4))),_xlpm.sortedPairs,_xlfn._xlws.SORT(_xlpm.uniquePairs,1,1),IF(ROW()-1&lt;=ROWS(_xlpm.sortedPairs),INDEX(_xlpm.sortedPairs,ROW()-1,2),"")),"")</f>
        <v/>
      </c>
      <c r="N225" s="15">
        <f t="array" ref="N225">IF(OR(L225="",M225=""),"",IFERROR(INDEX($E$2:$E$391,MATCH(1,($A$2:$A$391=L225)*($D$2:$D$391=M225),0)),""))</f>
        <v/>
      </c>
      <c r="O225" s="69">
        <f>IF(OR(L225="",M225=""),"",SUMIFS($J$2:$J$391,$A$2:$A$391,L225,$D$2:$D$391,M225))</f>
        <v/>
      </c>
      <c r="P225" s="6" t="n"/>
    </row>
    <row r="226">
      <c r="A226" s="44" t="inlineStr">
        <is>
          <t>PL202.2</t>
        </is>
      </c>
      <c r="B226" s="44" t="inlineStr">
        <is>
          <t xml:space="preserve">Ext. B </t>
        </is>
      </c>
      <c r="C226" s="43" t="n"/>
      <c r="D226" s="43">
        <f>IF(C226="","",IFERROR(_xlfn.XLOOKUP(C226,HELPER!$A$2:$A$76,HELPER!$B$2:$B$76,""),D226))</f>
        <v/>
      </c>
      <c r="E226" s="43">
        <f>IFERROR(_xlfn.XLOOKUP(D226,HELPER!$B:$B,HELPER!$C:$C,""),"")</f>
        <v/>
      </c>
      <c r="F226" s="42">
        <f>IFERROR(_xlfn.XLOOKUP(D226,HELPER!$B:$B,HELPER!$D:$D,""),"")</f>
        <v/>
      </c>
      <c r="G226" s="42" t="n">
        <v>8</v>
      </c>
      <c r="H226" s="556" t="n"/>
      <c r="I226" s="72">
        <f>IF(AND(H226&lt;&gt;"",IFERROR(_xlfn.XLOOKUP(D226,HELPER!$B:$B,HELPER!$E:$E,""),"")=""),"Missing price",IFERROR(_xlfn.XLOOKUP(D226,HELPER!$B:$B,HELPER!$E:$E,"")," "))</f>
        <v/>
      </c>
      <c r="J226" s="72">
        <f>IFERROR(H226*(IF(G226=8,I226*HELPER!$G$2,BOM!I226*HELPER!$G$3))," ")</f>
        <v/>
      </c>
      <c r="K226" s="6" t="n"/>
      <c r="L226" s="14">
        <f t="array" ref="L226">IFERROR(_xlfn.LET(_xlpm.pairs,_xlfn._xlws.FILTER($A$2:$D$391,($A$2:$A$391&lt;&gt;"")*(TRIM($D$2:$D$391)&lt;&gt;"")),_xlpm.uniquePairs,_xlfn.UNIQUE(_xlfn.HSTACK(INDEX(_xlpm.pairs,,1),INDEX(_xlpm.pairs,,4))),_xlpm.sortedPairs,_xlfn._xlws.SORT(_xlpm.uniquePairs,1,1),IF(ROW()-1&lt;=ROWS(_xlpm.sortedPairs),INDEX(_xlpm.sortedPairs,ROW()-1,1),"")),"")</f>
        <v/>
      </c>
      <c r="M226" s="15">
        <f t="array" ref="M226">IFERROR(_xlfn.LET(_xlpm.pairs,_xlfn._xlws.FILTER($A$2:$D$391,($A$2:$A$391&lt;&gt;"")*(TRIM($D$2:$D$391)&lt;&gt;"")),_xlpm.uniquePairs,_xlfn.UNIQUE(_xlfn.HSTACK(INDEX(_xlpm.pairs,,1),INDEX(_xlpm.pairs,,4))),_xlpm.sortedPairs,_xlfn._xlws.SORT(_xlpm.uniquePairs,1,1),IF(ROW()-1&lt;=ROWS(_xlpm.sortedPairs),INDEX(_xlpm.sortedPairs,ROW()-1,2),"")),"")</f>
        <v/>
      </c>
      <c r="N226" s="15">
        <f t="array" ref="N226">IF(OR(L226="",M226=""),"",IFERROR(INDEX($E$2:$E$391,MATCH(1,($A$2:$A$391=L226)*($D$2:$D$391=M226),0)),""))</f>
        <v/>
      </c>
      <c r="O226" s="69">
        <f>IF(OR(L226="",M226=""),"",SUMIFS($J$2:$J$391,$A$2:$A$391,L226,$D$2:$D$391,M226))</f>
        <v/>
      </c>
      <c r="P226" s="6" t="n"/>
    </row>
    <row r="227">
      <c r="A227" s="44" t="inlineStr">
        <is>
          <t>PL202.2</t>
        </is>
      </c>
      <c r="B227" s="44" t="inlineStr">
        <is>
          <t xml:space="preserve">Ext. B </t>
        </is>
      </c>
      <c r="C227" s="43" t="n"/>
      <c r="D227" s="43">
        <f>IF(C227="","",IFERROR(_xlfn.XLOOKUP(C227,HELPER!$A$2:$A$76,HELPER!$B$2:$B$76,""),D227))</f>
        <v/>
      </c>
      <c r="E227" s="43">
        <f>IFERROR(_xlfn.XLOOKUP(D227,HELPER!$B:$B,HELPER!$C:$C,""),"")</f>
        <v/>
      </c>
      <c r="F227" s="42">
        <f>IFERROR(_xlfn.XLOOKUP(D227,HELPER!$B:$B,HELPER!$D:$D,""),"")</f>
        <v/>
      </c>
      <c r="G227" s="42" t="n">
        <v>8</v>
      </c>
      <c r="H227" s="556" t="n"/>
      <c r="I227" s="72">
        <f>IF(AND(H227&lt;&gt;"",IFERROR(_xlfn.XLOOKUP(D227,HELPER!$B:$B,HELPER!$E:$E,""),"")=""),"Missing price",IFERROR(_xlfn.XLOOKUP(D227,HELPER!$B:$B,HELPER!$E:$E,"")," "))</f>
        <v/>
      </c>
      <c r="J227" s="72">
        <f>IFERROR(H227*(IF(G227=8,I227*HELPER!$G$2,BOM!I227*HELPER!$G$3))," ")</f>
        <v/>
      </c>
      <c r="K227" s="6" t="n"/>
      <c r="L227" s="14">
        <f t="array" ref="L227">IFERROR(_xlfn.LET(_xlpm.pairs,_xlfn._xlws.FILTER($A$2:$D$391,($A$2:$A$391&lt;&gt;"")*(TRIM($D$2:$D$391)&lt;&gt;"")),_xlpm.uniquePairs,_xlfn.UNIQUE(_xlfn.HSTACK(INDEX(_xlpm.pairs,,1),INDEX(_xlpm.pairs,,4))),_xlpm.sortedPairs,_xlfn._xlws.SORT(_xlpm.uniquePairs,1,1),IF(ROW()-1&lt;=ROWS(_xlpm.sortedPairs),INDEX(_xlpm.sortedPairs,ROW()-1,1),"")),"")</f>
        <v/>
      </c>
      <c r="M227" s="15">
        <f t="array" ref="M227">IFERROR(_xlfn.LET(_xlpm.pairs,_xlfn._xlws.FILTER($A$2:$D$391,($A$2:$A$391&lt;&gt;"")*(TRIM($D$2:$D$391)&lt;&gt;"")),_xlpm.uniquePairs,_xlfn.UNIQUE(_xlfn.HSTACK(INDEX(_xlpm.pairs,,1),INDEX(_xlpm.pairs,,4))),_xlpm.sortedPairs,_xlfn._xlws.SORT(_xlpm.uniquePairs,1,1),IF(ROW()-1&lt;=ROWS(_xlpm.sortedPairs),INDEX(_xlpm.sortedPairs,ROW()-1,2),"")),"")</f>
        <v/>
      </c>
      <c r="N227" s="15">
        <f t="array" ref="N227">IF(OR(L227="",M227=""),"",IFERROR(INDEX($E$2:$E$391,MATCH(1,($A$2:$A$391=L227)*($D$2:$D$391=M227),0)),""))</f>
        <v/>
      </c>
      <c r="O227" s="69">
        <f>IF(OR(L227="",M227=""),"",SUMIFS($J$2:$J$391,$A$2:$A$391,L227,$D$2:$D$391,M227))</f>
        <v/>
      </c>
      <c r="P227" s="6" t="n"/>
    </row>
    <row r="228">
      <c r="A228" s="44" t="inlineStr">
        <is>
          <t>PL202.2</t>
        </is>
      </c>
      <c r="B228" s="44" t="inlineStr">
        <is>
          <t xml:space="preserve">Ext. B </t>
        </is>
      </c>
      <c r="C228" s="43" t="n"/>
      <c r="D228" s="43">
        <f>IF(C228="","",IFERROR(_xlfn.XLOOKUP(C228,HELPER!$A$2:$A$76,HELPER!$B$2:$B$76,""),D228))</f>
        <v/>
      </c>
      <c r="E228" s="43">
        <f>IFERROR(_xlfn.XLOOKUP(D228,HELPER!$B:$B,HELPER!$C:$C,""),"")</f>
        <v/>
      </c>
      <c r="F228" s="42">
        <f>IFERROR(_xlfn.XLOOKUP(D228,HELPER!$B:$B,HELPER!$D:$D,""),"")</f>
        <v/>
      </c>
      <c r="G228" s="42" t="n">
        <v>8</v>
      </c>
      <c r="H228" s="556" t="n"/>
      <c r="I228" s="72">
        <f>IF(AND(H228&lt;&gt;"",IFERROR(_xlfn.XLOOKUP(D228,HELPER!$B:$B,HELPER!$E:$E,""),"")=""),"Missing price",IFERROR(_xlfn.XLOOKUP(D228,HELPER!$B:$B,HELPER!$E:$E,"")," "))</f>
        <v/>
      </c>
      <c r="J228" s="72">
        <f>IFERROR(H228*(IF(G228=8,I228*HELPER!$G$2,BOM!I228*HELPER!$G$3))," ")</f>
        <v/>
      </c>
      <c r="K228" s="6" t="n"/>
      <c r="L228" s="14">
        <f t="array" ref="L228">IFERROR(_xlfn.LET(_xlpm.pairs,_xlfn._xlws.FILTER($A$2:$D$391,($A$2:$A$391&lt;&gt;"")*(TRIM($D$2:$D$391)&lt;&gt;"")),_xlpm.uniquePairs,_xlfn.UNIQUE(_xlfn.HSTACK(INDEX(_xlpm.pairs,,1),INDEX(_xlpm.pairs,,4))),_xlpm.sortedPairs,_xlfn._xlws.SORT(_xlpm.uniquePairs,1,1),IF(ROW()-1&lt;=ROWS(_xlpm.sortedPairs),INDEX(_xlpm.sortedPairs,ROW()-1,1),"")),"")</f>
        <v/>
      </c>
      <c r="M228" s="15">
        <f t="array" ref="M228">IFERROR(_xlfn.LET(_xlpm.pairs,_xlfn._xlws.FILTER($A$2:$D$391,($A$2:$A$391&lt;&gt;"")*(TRIM($D$2:$D$391)&lt;&gt;"")),_xlpm.uniquePairs,_xlfn.UNIQUE(_xlfn.HSTACK(INDEX(_xlpm.pairs,,1),INDEX(_xlpm.pairs,,4))),_xlpm.sortedPairs,_xlfn._xlws.SORT(_xlpm.uniquePairs,1,1),IF(ROW()-1&lt;=ROWS(_xlpm.sortedPairs),INDEX(_xlpm.sortedPairs,ROW()-1,2),"")),"")</f>
        <v/>
      </c>
      <c r="N228" s="15">
        <f t="array" ref="N228">IF(OR(L228="",M228=""),"",IFERROR(INDEX($E$2:$E$391,MATCH(1,($A$2:$A$391=L228)*($D$2:$D$391=M228),0)),""))</f>
        <v/>
      </c>
      <c r="O228" s="69">
        <f>IF(OR(L228="",M228=""),"",SUMIFS($J$2:$J$391,$A$2:$A$391,L228,$D$2:$D$391,M228))</f>
        <v/>
      </c>
      <c r="P228" s="6" t="n"/>
    </row>
    <row r="229">
      <c r="A229" s="44" t="inlineStr">
        <is>
          <t>PL202.2</t>
        </is>
      </c>
      <c r="B229" s="44" t="inlineStr">
        <is>
          <t xml:space="preserve">Ext. B </t>
        </is>
      </c>
      <c r="C229" s="43" t="n"/>
      <c r="D229" s="43">
        <f>IF(C229="","",IFERROR(_xlfn.XLOOKUP(C229,HELPER!$A$2:$A$76,HELPER!$B$2:$B$76,""),D229))</f>
        <v/>
      </c>
      <c r="E229" s="43">
        <f>IFERROR(_xlfn.XLOOKUP(D229,HELPER!$B:$B,HELPER!$C:$C,""),"")</f>
        <v/>
      </c>
      <c r="F229" s="42">
        <f>IFERROR(_xlfn.XLOOKUP(D229,HELPER!$B:$B,HELPER!$D:$D,""),"")</f>
        <v/>
      </c>
      <c r="G229" s="42" t="n">
        <v>8</v>
      </c>
      <c r="H229" s="556" t="n"/>
      <c r="I229" s="72">
        <f>IF(AND(H229&lt;&gt;"",IFERROR(_xlfn.XLOOKUP(D229,HELPER!$B:$B,HELPER!$E:$E,""),"")=""),"Missing price",IFERROR(_xlfn.XLOOKUP(D229,HELPER!$B:$B,HELPER!$E:$E,"")," "))</f>
        <v/>
      </c>
      <c r="J229" s="72">
        <f>IFERROR(H229*(IF(G229=8,I229*HELPER!$G$2,BOM!I229*HELPER!$G$3))," ")</f>
        <v/>
      </c>
      <c r="K229" s="6" t="n"/>
      <c r="L229" s="14">
        <f t="array" ref="L229">IFERROR(_xlfn.LET(_xlpm.pairs,_xlfn._xlws.FILTER($A$2:$D$391,($A$2:$A$391&lt;&gt;"")*(TRIM($D$2:$D$391)&lt;&gt;"")),_xlpm.uniquePairs,_xlfn.UNIQUE(_xlfn.HSTACK(INDEX(_xlpm.pairs,,1),INDEX(_xlpm.pairs,,4))),_xlpm.sortedPairs,_xlfn._xlws.SORT(_xlpm.uniquePairs,1,1),IF(ROW()-1&lt;=ROWS(_xlpm.sortedPairs),INDEX(_xlpm.sortedPairs,ROW()-1,1),"")),"")</f>
        <v/>
      </c>
      <c r="M229" s="15">
        <f t="array" ref="M229">IFERROR(_xlfn.LET(_xlpm.pairs,_xlfn._xlws.FILTER($A$2:$D$391,($A$2:$A$391&lt;&gt;"")*(TRIM($D$2:$D$391)&lt;&gt;"")),_xlpm.uniquePairs,_xlfn.UNIQUE(_xlfn.HSTACK(INDEX(_xlpm.pairs,,1),INDEX(_xlpm.pairs,,4))),_xlpm.sortedPairs,_xlfn._xlws.SORT(_xlpm.uniquePairs,1,1),IF(ROW()-1&lt;=ROWS(_xlpm.sortedPairs),INDEX(_xlpm.sortedPairs,ROW()-1,2),"")),"")</f>
        <v/>
      </c>
      <c r="N229" s="15">
        <f t="array" ref="N229">IF(OR(L229="",M229=""),"",IFERROR(INDEX($E$2:$E$391,MATCH(1,($A$2:$A$391=L229)*($D$2:$D$391=M229),0)),""))</f>
        <v/>
      </c>
      <c r="O229" s="69">
        <f>IF(OR(L229="",M229=""),"",SUMIFS($J$2:$J$391,$A$2:$A$391,L229,$D$2:$D$391,M229))</f>
        <v/>
      </c>
      <c r="P229" s="6" t="n"/>
    </row>
    <row r="230">
      <c r="A230" s="44" t="inlineStr">
        <is>
          <t>PL202.2</t>
        </is>
      </c>
      <c r="B230" s="44" t="inlineStr">
        <is>
          <t xml:space="preserve">Ext. B </t>
        </is>
      </c>
      <c r="C230" s="43" t="n"/>
      <c r="D230" s="43">
        <f>IF(C230="","",IFERROR(_xlfn.XLOOKUP(C230,HELPER!$A$2:$A$76,HELPER!$B$2:$B$76,""),D230))</f>
        <v/>
      </c>
      <c r="E230" s="43">
        <f>IFERROR(_xlfn.XLOOKUP(D230,HELPER!$B:$B,HELPER!$C:$C,""),"")</f>
        <v/>
      </c>
      <c r="F230" s="42">
        <f>IFERROR(_xlfn.XLOOKUP(D230,HELPER!$B:$B,HELPER!$D:$D,""),"")</f>
        <v/>
      </c>
      <c r="G230" s="42" t="n">
        <v>8</v>
      </c>
      <c r="H230" s="556" t="n"/>
      <c r="I230" s="72">
        <f>IF(AND(H230&lt;&gt;"",IFERROR(_xlfn.XLOOKUP(D230,HELPER!$B:$B,HELPER!$E:$E,""),"")=""),"Missing price",IFERROR(_xlfn.XLOOKUP(D230,HELPER!$B:$B,HELPER!$E:$E,"")," "))</f>
        <v/>
      </c>
      <c r="J230" s="72">
        <f>IFERROR(H230*(IF(G230=8,I230*HELPER!$G$2,BOM!I230*HELPER!$G$3))," ")</f>
        <v/>
      </c>
      <c r="K230" s="6" t="n"/>
      <c r="L230" s="14">
        <f t="array" ref="L230">IFERROR(_xlfn.LET(_xlpm.pairs,_xlfn._xlws.FILTER($A$2:$D$391,($A$2:$A$391&lt;&gt;"")*(TRIM($D$2:$D$391)&lt;&gt;"")),_xlpm.uniquePairs,_xlfn.UNIQUE(_xlfn.HSTACK(INDEX(_xlpm.pairs,,1),INDEX(_xlpm.pairs,,4))),_xlpm.sortedPairs,_xlfn._xlws.SORT(_xlpm.uniquePairs,1,1),IF(ROW()-1&lt;=ROWS(_xlpm.sortedPairs),INDEX(_xlpm.sortedPairs,ROW()-1,1),"")),"")</f>
        <v/>
      </c>
      <c r="M230" s="15">
        <f t="array" ref="M230">IFERROR(_xlfn.LET(_xlpm.pairs,_xlfn._xlws.FILTER($A$2:$D$391,($A$2:$A$391&lt;&gt;"")*(TRIM($D$2:$D$391)&lt;&gt;"")),_xlpm.uniquePairs,_xlfn.UNIQUE(_xlfn.HSTACK(INDEX(_xlpm.pairs,,1),INDEX(_xlpm.pairs,,4))),_xlpm.sortedPairs,_xlfn._xlws.SORT(_xlpm.uniquePairs,1,1),IF(ROW()-1&lt;=ROWS(_xlpm.sortedPairs),INDEX(_xlpm.sortedPairs,ROW()-1,2),"")),"")</f>
        <v/>
      </c>
      <c r="N230" s="15">
        <f t="array" ref="N230">IF(OR(L230="",M230=""),"",IFERROR(INDEX($E$2:$E$391,MATCH(1,($A$2:$A$391=L230)*($D$2:$D$391=M230),0)),""))</f>
        <v/>
      </c>
      <c r="O230" s="69">
        <f>IF(OR(L230="",M230=""),"",SUMIFS($J$2:$J$391,$A$2:$A$391,L230,$D$2:$D$391,M230))</f>
        <v/>
      </c>
      <c r="P230" s="6" t="n"/>
    </row>
    <row r="231">
      <c r="A231" s="44" t="inlineStr">
        <is>
          <t>PL202.2</t>
        </is>
      </c>
      <c r="B231" s="44" t="inlineStr">
        <is>
          <t xml:space="preserve">Ext. B </t>
        </is>
      </c>
      <c r="C231" s="43" t="n"/>
      <c r="D231" s="43">
        <f>IF(C231="","",IFERROR(_xlfn.XLOOKUP(C231,HELPER!$A$2:$A$76,HELPER!$B$2:$B$76,""),D231))</f>
        <v/>
      </c>
      <c r="E231" s="43">
        <f>IFERROR(_xlfn.XLOOKUP(D231,HELPER!$B:$B,HELPER!$C:$C,""),"")</f>
        <v/>
      </c>
      <c r="F231" s="42">
        <f>IFERROR(_xlfn.XLOOKUP(D231,HELPER!$B:$B,HELPER!$D:$D,""),"")</f>
        <v/>
      </c>
      <c r="G231" s="42" t="n">
        <v>8</v>
      </c>
      <c r="H231" s="556" t="n"/>
      <c r="I231" s="72">
        <f>IF(AND(H231&lt;&gt;"",IFERROR(_xlfn.XLOOKUP(D231,HELPER!$B:$B,HELPER!$E:$E,""),"")=""),"Missing price",IFERROR(_xlfn.XLOOKUP(D231,HELPER!$B:$B,HELPER!$E:$E,"")," "))</f>
        <v/>
      </c>
      <c r="J231" s="72">
        <f>IFERROR(H231*(IF(G231=8,I231*HELPER!$G$2,BOM!I231*HELPER!$G$3))," ")</f>
        <v/>
      </c>
      <c r="K231" s="6" t="n"/>
      <c r="L231" s="14">
        <f t="array" ref="L231">IFERROR(_xlfn.LET(_xlpm.pairs,_xlfn._xlws.FILTER($A$2:$D$391,($A$2:$A$391&lt;&gt;"")*(TRIM($D$2:$D$391)&lt;&gt;"")),_xlpm.uniquePairs,_xlfn.UNIQUE(_xlfn.HSTACK(INDEX(_xlpm.pairs,,1),INDEX(_xlpm.pairs,,4))),_xlpm.sortedPairs,_xlfn._xlws.SORT(_xlpm.uniquePairs,1,1),IF(ROW()-1&lt;=ROWS(_xlpm.sortedPairs),INDEX(_xlpm.sortedPairs,ROW()-1,1),"")),"")</f>
        <v/>
      </c>
      <c r="M231" s="15">
        <f t="array" ref="M231">IFERROR(_xlfn.LET(_xlpm.pairs,_xlfn._xlws.FILTER($A$2:$D$391,($A$2:$A$391&lt;&gt;"")*(TRIM($D$2:$D$391)&lt;&gt;"")),_xlpm.uniquePairs,_xlfn.UNIQUE(_xlfn.HSTACK(INDEX(_xlpm.pairs,,1),INDEX(_xlpm.pairs,,4))),_xlpm.sortedPairs,_xlfn._xlws.SORT(_xlpm.uniquePairs,1,1),IF(ROW()-1&lt;=ROWS(_xlpm.sortedPairs),INDEX(_xlpm.sortedPairs,ROW()-1,2),"")),"")</f>
        <v/>
      </c>
      <c r="N231" s="15">
        <f t="array" ref="N231">IF(OR(L231="",M231=""),"",IFERROR(INDEX($E$2:$E$391,MATCH(1,($A$2:$A$391=L231)*($D$2:$D$391=M231),0)),""))</f>
        <v/>
      </c>
      <c r="O231" s="69">
        <f>IF(OR(L231="",M231=""),"",SUMIFS($J$2:$J$391,$A$2:$A$391,L231,$D$2:$D$391,M231))</f>
        <v/>
      </c>
      <c r="P231" s="6" t="n"/>
    </row>
    <row r="232">
      <c r="A232" s="44" t="inlineStr">
        <is>
          <t>PL202.2</t>
        </is>
      </c>
      <c r="B232" s="44" t="inlineStr">
        <is>
          <t>Ext. C (In)</t>
        </is>
      </c>
      <c r="C232" s="43" t="inlineStr">
        <is>
          <t>PBAT</t>
        </is>
      </c>
      <c r="D232" s="43">
        <f>IF(C232="","",IFERROR(_xlfn.XLOOKUP(C232,HELPER!$A$2:$A$76,HELPER!$B$2:$B$76,""),D232))</f>
        <v/>
      </c>
      <c r="E232" s="43">
        <f>IFERROR(_xlfn.XLOOKUP(D232,HELPER!$B:$B,HELPER!$C:$C,""),"")</f>
        <v/>
      </c>
      <c r="F232" s="42">
        <f>IFERROR(_xlfn.XLOOKUP(D232,HELPER!$B:$B,HELPER!$D:$D,""),"")</f>
        <v/>
      </c>
      <c r="G232" s="42" t="n">
        <v>8</v>
      </c>
      <c r="H232" s="556" t="n">
        <v>0.6899999999999999</v>
      </c>
      <c r="I232" s="72">
        <f>IF(AND(H232&lt;&gt;"",IFERROR(_xlfn.XLOOKUP(D232,HELPER!$B:$B,HELPER!$E:$E,""),"")=""),"Missing price",IFERROR(_xlfn.XLOOKUP(D232,HELPER!$B:$B,HELPER!$E:$E,"")," "))</f>
        <v/>
      </c>
      <c r="J232" s="72">
        <f>IFERROR(H232*(IF(G232=8,I232*HELPER!$G$2,BOM!I232*HELPER!$G$3))," ")</f>
        <v/>
      </c>
      <c r="K232" s="6" t="n"/>
      <c r="L232" s="14">
        <f t="array" ref="L232">IFERROR(_xlfn.LET(_xlpm.pairs,_xlfn._xlws.FILTER($A$2:$D$391,($A$2:$A$391&lt;&gt;"")*(TRIM($D$2:$D$391)&lt;&gt;"")),_xlpm.uniquePairs,_xlfn.UNIQUE(_xlfn.HSTACK(INDEX(_xlpm.pairs,,1),INDEX(_xlpm.pairs,,4))),_xlpm.sortedPairs,_xlfn._xlws.SORT(_xlpm.uniquePairs,1,1),IF(ROW()-1&lt;=ROWS(_xlpm.sortedPairs),INDEX(_xlpm.sortedPairs,ROW()-1,1),"")),"")</f>
        <v/>
      </c>
      <c r="M232" s="15">
        <f t="array" ref="M232">IFERROR(_xlfn.LET(_xlpm.pairs,_xlfn._xlws.FILTER($A$2:$D$391,($A$2:$A$391&lt;&gt;"")*(TRIM($D$2:$D$391)&lt;&gt;"")),_xlpm.uniquePairs,_xlfn.UNIQUE(_xlfn.HSTACK(INDEX(_xlpm.pairs,,1),INDEX(_xlpm.pairs,,4))),_xlpm.sortedPairs,_xlfn._xlws.SORT(_xlpm.uniquePairs,1,1),IF(ROW()-1&lt;=ROWS(_xlpm.sortedPairs),INDEX(_xlpm.sortedPairs,ROW()-1,2),"")),"")</f>
        <v/>
      </c>
      <c r="N232" s="15">
        <f t="array" ref="N232">IF(OR(L232="",M232=""),"",IFERROR(INDEX($E$2:$E$391,MATCH(1,($A$2:$A$391=L232)*($D$2:$D$391=M232),0)),""))</f>
        <v/>
      </c>
      <c r="O232" s="69">
        <f>IF(OR(L232="",M232=""),"",SUMIFS($J$2:$J$391,$A$2:$A$391,L232,$D$2:$D$391,M232))</f>
        <v/>
      </c>
      <c r="P232" s="6" t="n"/>
    </row>
    <row r="233">
      <c r="A233" s="44" t="inlineStr">
        <is>
          <t>PL202.2</t>
        </is>
      </c>
      <c r="B233" s="44" t="inlineStr">
        <is>
          <t>Ext. C (In)</t>
        </is>
      </c>
      <c r="C233" s="43" t="inlineStr">
        <is>
          <t>PVOH</t>
        </is>
      </c>
      <c r="D233" s="43">
        <f>IF(C233="","",IFERROR(_xlfn.XLOOKUP(C233,HELPER!$A$2:$A$76,HELPER!$B$2:$B$76,""),D233))</f>
        <v/>
      </c>
      <c r="E233" s="43">
        <f>IFERROR(_xlfn.XLOOKUP(D233,HELPER!$B:$B,HELPER!$C:$C,""),"")</f>
        <v/>
      </c>
      <c r="F233" s="42">
        <f>IFERROR(_xlfn.XLOOKUP(D233,HELPER!$B:$B,HELPER!$D:$D,""),"")</f>
        <v/>
      </c>
      <c r="G233" s="42" t="n">
        <v>8</v>
      </c>
      <c r="H233" s="556" t="n">
        <v>0.29</v>
      </c>
      <c r="I233" s="72">
        <f>IF(AND(H233&lt;&gt;"",IFERROR(_xlfn.XLOOKUP(D233,HELPER!$B:$B,HELPER!$E:$E,""),"")=""),"Missing price",IFERROR(_xlfn.XLOOKUP(D233,HELPER!$B:$B,HELPER!$E:$E,"")," "))</f>
        <v/>
      </c>
      <c r="J233" s="72">
        <f>IFERROR(H233*(IF(G233=8,I233*HELPER!$G$2,BOM!I233*HELPER!$G$3))," ")</f>
        <v/>
      </c>
      <c r="K233" s="6" t="n"/>
      <c r="L233" s="14">
        <f t="array" ref="L233">IFERROR(_xlfn.LET(_xlpm.pairs,_xlfn._xlws.FILTER($A$2:$D$391,($A$2:$A$391&lt;&gt;"")*(TRIM($D$2:$D$391)&lt;&gt;"")),_xlpm.uniquePairs,_xlfn.UNIQUE(_xlfn.HSTACK(INDEX(_xlpm.pairs,,1),INDEX(_xlpm.pairs,,4))),_xlpm.sortedPairs,_xlfn._xlws.SORT(_xlpm.uniquePairs,1,1),IF(ROW()-1&lt;=ROWS(_xlpm.sortedPairs),INDEX(_xlpm.sortedPairs,ROW()-1,1),"")),"")</f>
        <v/>
      </c>
      <c r="M233" s="15">
        <f t="array" ref="M233">IFERROR(_xlfn.LET(_xlpm.pairs,_xlfn._xlws.FILTER($A$2:$D$391,($A$2:$A$391&lt;&gt;"")*(TRIM($D$2:$D$391)&lt;&gt;"")),_xlpm.uniquePairs,_xlfn.UNIQUE(_xlfn.HSTACK(INDEX(_xlpm.pairs,,1),INDEX(_xlpm.pairs,,4))),_xlpm.sortedPairs,_xlfn._xlws.SORT(_xlpm.uniquePairs,1,1),IF(ROW()-1&lt;=ROWS(_xlpm.sortedPairs),INDEX(_xlpm.sortedPairs,ROW()-1,2),"")),"")</f>
        <v/>
      </c>
      <c r="N233" s="15">
        <f t="array" ref="N233">IF(OR(L233="",M233=""),"",IFERROR(INDEX($E$2:$E$391,MATCH(1,($A$2:$A$391=L233)*($D$2:$D$391=M233),0)),""))</f>
        <v/>
      </c>
      <c r="O233" s="69">
        <f>IF(OR(L233="",M233=""),"",SUMIFS($J$2:$J$391,$A$2:$A$391,L233,$D$2:$D$391,M233))</f>
        <v/>
      </c>
      <c r="P233" s="6" t="n"/>
    </row>
    <row r="234">
      <c r="A234" s="44" t="inlineStr">
        <is>
          <t>PL202.2</t>
        </is>
      </c>
      <c r="B234" s="44" t="inlineStr">
        <is>
          <t>Ext. C (In)</t>
        </is>
      </c>
      <c r="C234" s="43" t="inlineStr">
        <is>
          <t>AO-PBS</t>
        </is>
      </c>
      <c r="D234" s="43">
        <f>IF(C234="","",IFERROR(_xlfn.XLOOKUP(C234,HELPER!$A$2:$A$76,HELPER!$B$2:$B$76,""),D234))</f>
        <v/>
      </c>
      <c r="E234" s="43">
        <f>IFERROR(_xlfn.XLOOKUP(D234,HELPER!$B:$B,HELPER!$C:$C,""),"")</f>
        <v/>
      </c>
      <c r="F234" s="42">
        <f>IFERROR(_xlfn.XLOOKUP(D234,HELPER!$B:$B,HELPER!$D:$D,""),"")</f>
        <v/>
      </c>
      <c r="G234" s="42" t="n">
        <v>8</v>
      </c>
      <c r="H234" s="556" t="n">
        <v>0.02</v>
      </c>
      <c r="I234" s="72">
        <f>IF(AND(H234&lt;&gt;"",IFERROR(_xlfn.XLOOKUP(D234,HELPER!$B:$B,HELPER!$E:$E,""),"")=""),"Missing price",IFERROR(_xlfn.XLOOKUP(D234,HELPER!$B:$B,HELPER!$E:$E,"")," "))</f>
        <v/>
      </c>
      <c r="J234" s="72">
        <f>IFERROR(H234*(IF(G234=8,I234*HELPER!$G$2,BOM!I234*HELPER!$G$3))," ")</f>
        <v/>
      </c>
      <c r="K234" s="6" t="n"/>
      <c r="L234" s="14">
        <f t="array" ref="L234">IFERROR(_xlfn.LET(_xlpm.pairs,_xlfn._xlws.FILTER($A$2:$D$391,($A$2:$A$391&lt;&gt;"")*(TRIM($D$2:$D$391)&lt;&gt;"")),_xlpm.uniquePairs,_xlfn.UNIQUE(_xlfn.HSTACK(INDEX(_xlpm.pairs,,1),INDEX(_xlpm.pairs,,4))),_xlpm.sortedPairs,_xlfn._xlws.SORT(_xlpm.uniquePairs,1,1),IF(ROW()-1&lt;=ROWS(_xlpm.sortedPairs),INDEX(_xlpm.sortedPairs,ROW()-1,1),"")),"")</f>
        <v/>
      </c>
      <c r="M234" s="15">
        <f t="array" ref="M234">IFERROR(_xlfn.LET(_xlpm.pairs,_xlfn._xlws.FILTER($A$2:$D$391,($A$2:$A$391&lt;&gt;"")*(TRIM($D$2:$D$391)&lt;&gt;"")),_xlpm.uniquePairs,_xlfn.UNIQUE(_xlfn.HSTACK(INDEX(_xlpm.pairs,,1),INDEX(_xlpm.pairs,,4))),_xlpm.sortedPairs,_xlfn._xlws.SORT(_xlpm.uniquePairs,1,1),IF(ROW()-1&lt;=ROWS(_xlpm.sortedPairs),INDEX(_xlpm.sortedPairs,ROW()-1,2),"")),"")</f>
        <v/>
      </c>
      <c r="N234" s="15">
        <f t="array" ref="N234">IF(OR(L234="",M234=""),"",IFERROR(INDEX($E$2:$E$391,MATCH(1,($A$2:$A$391=L234)*($D$2:$D$391=M234),0)),""))</f>
        <v/>
      </c>
      <c r="O234" s="69">
        <f>IF(OR(L234="",M234=""),"",SUMIFS($J$2:$J$391,$A$2:$A$391,L234,$D$2:$D$391,M234))</f>
        <v/>
      </c>
      <c r="P234" s="6" t="n"/>
    </row>
    <row r="235">
      <c r="A235" s="44" t="inlineStr">
        <is>
          <t>PL202.2</t>
        </is>
      </c>
      <c r="B235" s="44" t="inlineStr">
        <is>
          <t>Ext. C (In)</t>
        </is>
      </c>
      <c r="C235" s="43" t="n"/>
      <c r="D235" s="43">
        <f>IF(C235="","",IFERROR(_xlfn.XLOOKUP(C235,HELPER!$A$2:$A$76,HELPER!$B$2:$B$76,""),D235))</f>
        <v/>
      </c>
      <c r="E235" s="43">
        <f>IFERROR(_xlfn.XLOOKUP(D235,HELPER!$B:$B,HELPER!$C:$C,""),"")</f>
        <v/>
      </c>
      <c r="F235" s="42">
        <f>IFERROR(_xlfn.XLOOKUP(D235,HELPER!$B:$B,HELPER!$D:$D,""),"")</f>
        <v/>
      </c>
      <c r="G235" s="42" t="n">
        <v>8</v>
      </c>
      <c r="H235" s="556" t="n"/>
      <c r="I235" s="72">
        <f>IF(AND(H235&lt;&gt;"",IFERROR(_xlfn.XLOOKUP(D235,HELPER!$B:$B,HELPER!$E:$E,""),"")=""),"Missing price",IFERROR(_xlfn.XLOOKUP(D235,HELPER!$B:$B,HELPER!$E:$E,"")," "))</f>
        <v/>
      </c>
      <c r="J235" s="72">
        <f>IFERROR(H235*(IF(G235=8,I235*HELPER!$G$2,BOM!I235*HELPER!$G$3))," ")</f>
        <v/>
      </c>
      <c r="K235" s="6" t="n"/>
      <c r="L235" s="14">
        <f t="array" ref="L235">IFERROR(_xlfn.LET(_xlpm.pairs,_xlfn._xlws.FILTER($A$2:$D$391,($A$2:$A$391&lt;&gt;"")*(TRIM($D$2:$D$391)&lt;&gt;"")),_xlpm.uniquePairs,_xlfn.UNIQUE(_xlfn.HSTACK(INDEX(_xlpm.pairs,,1),INDEX(_xlpm.pairs,,4))),_xlpm.sortedPairs,_xlfn._xlws.SORT(_xlpm.uniquePairs,1,1),IF(ROW()-1&lt;=ROWS(_xlpm.sortedPairs),INDEX(_xlpm.sortedPairs,ROW()-1,1),"")),"")</f>
        <v/>
      </c>
      <c r="M235" s="15">
        <f t="array" ref="M235">IFERROR(_xlfn.LET(_xlpm.pairs,_xlfn._xlws.FILTER($A$2:$D$391,($A$2:$A$391&lt;&gt;"")*(TRIM($D$2:$D$391)&lt;&gt;"")),_xlpm.uniquePairs,_xlfn.UNIQUE(_xlfn.HSTACK(INDEX(_xlpm.pairs,,1),INDEX(_xlpm.pairs,,4))),_xlpm.sortedPairs,_xlfn._xlws.SORT(_xlpm.uniquePairs,1,1),IF(ROW()-1&lt;=ROWS(_xlpm.sortedPairs),INDEX(_xlpm.sortedPairs,ROW()-1,2),"")),"")</f>
        <v/>
      </c>
      <c r="N235" s="15">
        <f t="array" ref="N235">IF(OR(L235="",M235=""),"",IFERROR(INDEX($E$2:$E$391,MATCH(1,($A$2:$A$391=L235)*($D$2:$D$391=M235),0)),""))</f>
        <v/>
      </c>
      <c r="O235" s="69">
        <f>IF(OR(L235="",M235=""),"",SUMIFS($J$2:$J$391,$A$2:$A$391,L235,$D$2:$D$391,M235))</f>
        <v/>
      </c>
      <c r="P235" s="6" t="n"/>
    </row>
    <row r="236">
      <c r="A236" s="44" t="inlineStr">
        <is>
          <t>PL202.2</t>
        </is>
      </c>
      <c r="B236" s="44" t="inlineStr">
        <is>
          <t>Ext. C (In)</t>
        </is>
      </c>
      <c r="C236" s="43" t="n"/>
      <c r="D236" s="43">
        <f>IF(C236="","",IFERROR(_xlfn.XLOOKUP(C236,HELPER!$A$2:$A$76,HELPER!$B$2:$B$76,""),D236))</f>
        <v/>
      </c>
      <c r="E236" s="43">
        <f>IFERROR(_xlfn.XLOOKUP(D236,HELPER!$B:$B,HELPER!$C:$C,""),"")</f>
        <v/>
      </c>
      <c r="F236" s="42">
        <f>IFERROR(_xlfn.XLOOKUP(D236,HELPER!$B:$B,HELPER!$D:$D,""),"")</f>
        <v/>
      </c>
      <c r="G236" s="42" t="n">
        <v>8</v>
      </c>
      <c r="H236" s="556" t="n"/>
      <c r="I236" s="72">
        <f>IF(AND(H236&lt;&gt;"",IFERROR(_xlfn.XLOOKUP(D236,HELPER!$B:$B,HELPER!$E:$E,""),"")=""),"Missing price",IFERROR(_xlfn.XLOOKUP(D236,HELPER!$B:$B,HELPER!$E:$E,"")," "))</f>
        <v/>
      </c>
      <c r="J236" s="72">
        <f>IFERROR(H236*(IF(G236=8,I236*HELPER!$G$2,BOM!I236*HELPER!$G$3))," ")</f>
        <v/>
      </c>
      <c r="K236" s="6" t="n"/>
      <c r="L236" s="14">
        <f t="array" ref="L236">IFERROR(_xlfn.LET(_xlpm.pairs,_xlfn._xlws.FILTER($A$2:$D$391,($A$2:$A$391&lt;&gt;"")*(TRIM($D$2:$D$391)&lt;&gt;"")),_xlpm.uniquePairs,_xlfn.UNIQUE(_xlfn.HSTACK(INDEX(_xlpm.pairs,,1),INDEX(_xlpm.pairs,,4))),_xlpm.sortedPairs,_xlfn._xlws.SORT(_xlpm.uniquePairs,1,1),IF(ROW()-1&lt;=ROWS(_xlpm.sortedPairs),INDEX(_xlpm.sortedPairs,ROW()-1,1),"")),"")</f>
        <v/>
      </c>
      <c r="M236" s="15">
        <f t="array" ref="M236">IFERROR(_xlfn.LET(_xlpm.pairs,_xlfn._xlws.FILTER($A$2:$D$391,($A$2:$A$391&lt;&gt;"")*(TRIM($D$2:$D$391)&lt;&gt;"")),_xlpm.uniquePairs,_xlfn.UNIQUE(_xlfn.HSTACK(INDEX(_xlpm.pairs,,1),INDEX(_xlpm.pairs,,4))),_xlpm.sortedPairs,_xlfn._xlws.SORT(_xlpm.uniquePairs,1,1),IF(ROW()-1&lt;=ROWS(_xlpm.sortedPairs),INDEX(_xlpm.sortedPairs,ROW()-1,2),"")),"")</f>
        <v/>
      </c>
      <c r="N236" s="15">
        <f t="array" ref="N236">IF(OR(L236="",M236=""),"",IFERROR(INDEX($E$2:$E$391,MATCH(1,($A$2:$A$391=L236)*($D$2:$D$391=M236),0)),""))</f>
        <v/>
      </c>
      <c r="O236" s="69">
        <f>IF(OR(L236="",M236=""),"",SUMIFS($J$2:$J$391,$A$2:$A$391,L236,$D$2:$D$391,M236))</f>
        <v/>
      </c>
      <c r="P236" s="6" t="n"/>
    </row>
    <row r="237">
      <c r="A237" s="44" t="inlineStr">
        <is>
          <t>PL202.2</t>
        </is>
      </c>
      <c r="B237" s="44" t="inlineStr">
        <is>
          <t>Ext. C (In)</t>
        </is>
      </c>
      <c r="C237" s="43" t="n"/>
      <c r="D237" s="43">
        <f>IF(C237="","",IFERROR(_xlfn.XLOOKUP(C237,HELPER!$A$2:$A$76,HELPER!$B$2:$B$76,""),D237))</f>
        <v/>
      </c>
      <c r="E237" s="43">
        <f>IFERROR(_xlfn.XLOOKUP(D237,HELPER!$B:$B,HELPER!$C:$C,""),"")</f>
        <v/>
      </c>
      <c r="F237" s="42">
        <f>IFERROR(_xlfn.XLOOKUP(D237,HELPER!$B:$B,HELPER!$D:$D,""),"")</f>
        <v/>
      </c>
      <c r="G237" s="42" t="n">
        <v>8</v>
      </c>
      <c r="H237" s="556" t="n"/>
      <c r="I237" s="72">
        <f>IF(AND(H237&lt;&gt;"",IFERROR(_xlfn.XLOOKUP(D237,HELPER!$B:$B,HELPER!$E:$E,""),"")=""),"Missing price",IFERROR(_xlfn.XLOOKUP(D237,HELPER!$B:$B,HELPER!$E:$E,"")," "))</f>
        <v/>
      </c>
      <c r="J237" s="72">
        <f>IFERROR(H237*(IF(G237=8,I237*HELPER!$G$2,BOM!I237*HELPER!$G$3))," ")</f>
        <v/>
      </c>
      <c r="K237" s="6" t="n"/>
      <c r="L237" s="14">
        <f t="array" ref="L237">IFERROR(_xlfn.LET(_xlpm.pairs,_xlfn._xlws.FILTER($A$2:$D$391,($A$2:$A$391&lt;&gt;"")*(TRIM($D$2:$D$391)&lt;&gt;"")),_xlpm.uniquePairs,_xlfn.UNIQUE(_xlfn.HSTACK(INDEX(_xlpm.pairs,,1),INDEX(_xlpm.pairs,,4))),_xlpm.sortedPairs,_xlfn._xlws.SORT(_xlpm.uniquePairs,1,1),IF(ROW()-1&lt;=ROWS(_xlpm.sortedPairs),INDEX(_xlpm.sortedPairs,ROW()-1,1),"")),"")</f>
        <v/>
      </c>
      <c r="M237" s="15">
        <f t="array" ref="M237">IFERROR(_xlfn.LET(_xlpm.pairs,_xlfn._xlws.FILTER($A$2:$D$391,($A$2:$A$391&lt;&gt;"")*(TRIM($D$2:$D$391)&lt;&gt;"")),_xlpm.uniquePairs,_xlfn.UNIQUE(_xlfn.HSTACK(INDEX(_xlpm.pairs,,1),INDEX(_xlpm.pairs,,4))),_xlpm.sortedPairs,_xlfn._xlws.SORT(_xlpm.uniquePairs,1,1),IF(ROW()-1&lt;=ROWS(_xlpm.sortedPairs),INDEX(_xlpm.sortedPairs,ROW()-1,2),"")),"")</f>
        <v/>
      </c>
      <c r="N237" s="15">
        <f t="array" ref="N237">IF(OR(L237="",M237=""),"",IFERROR(INDEX($E$2:$E$391,MATCH(1,($A$2:$A$391=L237)*($D$2:$D$391=M237),0)),""))</f>
        <v/>
      </c>
      <c r="O237" s="69">
        <f>IF(OR(L237="",M237=""),"",SUMIFS($J$2:$J$391,$A$2:$A$391,L237,$D$2:$D$391,M237))</f>
        <v/>
      </c>
      <c r="P237" s="6" t="n"/>
    </row>
    <row r="238">
      <c r="A238" s="44" t="inlineStr">
        <is>
          <t>PL202.2</t>
        </is>
      </c>
      <c r="B238" s="44" t="inlineStr">
        <is>
          <t>Ext. C (In)</t>
        </is>
      </c>
      <c r="C238" s="43" t="n"/>
      <c r="D238" s="43">
        <f>IF(C238="","",IFERROR(_xlfn.XLOOKUP(C238,HELPER!$A$2:$A$76,HELPER!$B$2:$B$76,""),D238))</f>
        <v/>
      </c>
      <c r="E238" s="43">
        <f>IFERROR(_xlfn.XLOOKUP(D238,HELPER!$B:$B,HELPER!$C:$C,""),"")</f>
        <v/>
      </c>
      <c r="F238" s="42">
        <f>IFERROR(_xlfn.XLOOKUP(D238,HELPER!$B:$B,HELPER!$D:$D,""),"")</f>
        <v/>
      </c>
      <c r="G238" s="42" t="n">
        <v>8</v>
      </c>
      <c r="H238" s="556" t="n"/>
      <c r="I238" s="72">
        <f>IF(AND(H238&lt;&gt;"",IFERROR(_xlfn.XLOOKUP(D238,HELPER!$B:$B,HELPER!$E:$E,""),"")=""),"Missing price",IFERROR(_xlfn.XLOOKUP(D238,HELPER!$B:$B,HELPER!$E:$E,"")," "))</f>
        <v/>
      </c>
      <c r="J238" s="72">
        <f>IFERROR(H238*(IF(G238=8,I238*HELPER!$G$2,BOM!I238*HELPER!$G$3))," ")</f>
        <v/>
      </c>
      <c r="K238" s="6" t="n"/>
      <c r="L238" s="14">
        <f t="array" ref="L238">IFERROR(_xlfn.LET(_xlpm.pairs,_xlfn._xlws.FILTER($A$2:$D$391,($A$2:$A$391&lt;&gt;"")*(TRIM($D$2:$D$391)&lt;&gt;"")),_xlpm.uniquePairs,_xlfn.UNIQUE(_xlfn.HSTACK(INDEX(_xlpm.pairs,,1),INDEX(_xlpm.pairs,,4))),_xlpm.sortedPairs,_xlfn._xlws.SORT(_xlpm.uniquePairs,1,1),IF(ROW()-1&lt;=ROWS(_xlpm.sortedPairs),INDEX(_xlpm.sortedPairs,ROW()-1,1),"")),"")</f>
        <v/>
      </c>
      <c r="M238" s="15">
        <f t="array" ref="M238">IFERROR(_xlfn.LET(_xlpm.pairs,_xlfn._xlws.FILTER($A$2:$D$391,($A$2:$A$391&lt;&gt;"")*(TRIM($D$2:$D$391)&lt;&gt;"")),_xlpm.uniquePairs,_xlfn.UNIQUE(_xlfn.HSTACK(INDEX(_xlpm.pairs,,1),INDEX(_xlpm.pairs,,4))),_xlpm.sortedPairs,_xlfn._xlws.SORT(_xlpm.uniquePairs,1,1),IF(ROW()-1&lt;=ROWS(_xlpm.sortedPairs),INDEX(_xlpm.sortedPairs,ROW()-1,2),"")),"")</f>
        <v/>
      </c>
      <c r="N238" s="15">
        <f t="array" ref="N238">IF(OR(L238="",M238=""),"",IFERROR(INDEX($E$2:$E$391,MATCH(1,($A$2:$A$391=L238)*($D$2:$D$391=M238),0)),""))</f>
        <v/>
      </c>
      <c r="O238" s="69">
        <f>IF(OR(L238="",M238=""),"",SUMIFS($J$2:$J$391,$A$2:$A$391,L238,$D$2:$D$391,M238))</f>
        <v/>
      </c>
      <c r="P238" s="6" t="n"/>
    </row>
    <row r="239">
      <c r="A239" s="44" t="inlineStr">
        <is>
          <t>PL202.2</t>
        </is>
      </c>
      <c r="B239" s="44" t="inlineStr">
        <is>
          <t>Ext. C (In)</t>
        </is>
      </c>
      <c r="C239" s="43" t="n"/>
      <c r="D239" s="43">
        <f>IF(C239="","",IFERROR(_xlfn.XLOOKUP(C239,HELPER!$A$2:$A$76,HELPER!$B$2:$B$76,""),D239))</f>
        <v/>
      </c>
      <c r="E239" s="43">
        <f>IFERROR(_xlfn.XLOOKUP(D239,HELPER!$B:$B,HELPER!$C:$C,""),"")</f>
        <v/>
      </c>
      <c r="F239" s="42">
        <f>IFERROR(_xlfn.XLOOKUP(D239,HELPER!$B:$B,HELPER!$D:$D,""),"")</f>
        <v/>
      </c>
      <c r="G239" s="42" t="n">
        <v>8</v>
      </c>
      <c r="H239" s="556" t="n"/>
      <c r="I239" s="72">
        <f>IF(AND(H239&lt;&gt;"",IFERROR(_xlfn.XLOOKUP(D239,HELPER!$B:$B,HELPER!$E:$E,""),"")=""),"Missing price",IFERROR(_xlfn.XLOOKUP(D239,HELPER!$B:$B,HELPER!$E:$E,"")," "))</f>
        <v/>
      </c>
      <c r="J239" s="72">
        <f>IFERROR(H239*(IF(G239=8,I239*HELPER!$G$2,BOM!I239*HELPER!$G$3))," ")</f>
        <v/>
      </c>
      <c r="K239" s="6" t="n"/>
      <c r="L239" s="14">
        <f t="array" ref="L239">IFERROR(_xlfn.LET(_xlpm.pairs,_xlfn._xlws.FILTER($A$2:$D$391,($A$2:$A$391&lt;&gt;"")*(TRIM($D$2:$D$391)&lt;&gt;"")),_xlpm.uniquePairs,_xlfn.UNIQUE(_xlfn.HSTACK(INDEX(_xlpm.pairs,,1),INDEX(_xlpm.pairs,,4))),_xlpm.sortedPairs,_xlfn._xlws.SORT(_xlpm.uniquePairs,1,1),IF(ROW()-1&lt;=ROWS(_xlpm.sortedPairs),INDEX(_xlpm.sortedPairs,ROW()-1,1),"")),"")</f>
        <v/>
      </c>
      <c r="M239" s="15">
        <f t="array" ref="M239">IFERROR(_xlfn.LET(_xlpm.pairs,_xlfn._xlws.FILTER($A$2:$D$391,($A$2:$A$391&lt;&gt;"")*(TRIM($D$2:$D$391)&lt;&gt;"")),_xlpm.uniquePairs,_xlfn.UNIQUE(_xlfn.HSTACK(INDEX(_xlpm.pairs,,1),INDEX(_xlpm.pairs,,4))),_xlpm.sortedPairs,_xlfn._xlws.SORT(_xlpm.uniquePairs,1,1),IF(ROW()-1&lt;=ROWS(_xlpm.sortedPairs),INDEX(_xlpm.sortedPairs,ROW()-1,2),"")),"")</f>
        <v/>
      </c>
      <c r="N239" s="15">
        <f t="array" ref="N239">IF(OR(L239="",M239=""),"",IFERROR(INDEX($E$2:$E$391,MATCH(1,($A$2:$A$391=L239)*($D$2:$D$391=M239),0)),""))</f>
        <v/>
      </c>
      <c r="O239" s="69">
        <f>IF(OR(L239="",M239=""),"",SUMIFS($J$2:$J$391,$A$2:$A$391,L239,$D$2:$D$391,M239))</f>
        <v/>
      </c>
      <c r="P239" s="6" t="n"/>
    </row>
    <row r="240">
      <c r="A240" s="44" t="inlineStr">
        <is>
          <t>PL202.2</t>
        </is>
      </c>
      <c r="B240" s="44" t="inlineStr">
        <is>
          <t>Ext. C (In)</t>
        </is>
      </c>
      <c r="C240" s="43" t="n"/>
      <c r="D240" s="43">
        <f>IF(C240="","",IFERROR(_xlfn.XLOOKUP(C240,HELPER!$A$2:$A$76,HELPER!$B$2:$B$76,""),D240))</f>
        <v/>
      </c>
      <c r="E240" s="43">
        <f>IFERROR(_xlfn.XLOOKUP(D240,HELPER!$B:$B,HELPER!$C:$C,""),"")</f>
        <v/>
      </c>
      <c r="F240" s="42">
        <f>IFERROR(_xlfn.XLOOKUP(D240,HELPER!$B:$B,HELPER!$D:$D,""),"")</f>
        <v/>
      </c>
      <c r="G240" s="42" t="n">
        <v>8</v>
      </c>
      <c r="H240" s="556" t="n"/>
      <c r="I240" s="72">
        <f>IF(AND(H240&lt;&gt;"",IFERROR(_xlfn.XLOOKUP(D240,HELPER!$B:$B,HELPER!$E:$E,""),"")=""),"Missing price",IFERROR(_xlfn.XLOOKUP(D240,HELPER!$B:$B,HELPER!$E:$E,"")," "))</f>
        <v/>
      </c>
      <c r="J240" s="72">
        <f>IFERROR(H240*(IF(G240=8,I240*HELPER!$G$2,BOM!I240*HELPER!$G$3))," ")</f>
        <v/>
      </c>
      <c r="K240" s="6" t="n"/>
      <c r="L240" s="14">
        <f t="array" ref="L240">IFERROR(_xlfn.LET(_xlpm.pairs,_xlfn._xlws.FILTER($A$2:$D$391,($A$2:$A$391&lt;&gt;"")*(TRIM($D$2:$D$391)&lt;&gt;"")),_xlpm.uniquePairs,_xlfn.UNIQUE(_xlfn.HSTACK(INDEX(_xlpm.pairs,,1),INDEX(_xlpm.pairs,,4))),_xlpm.sortedPairs,_xlfn._xlws.SORT(_xlpm.uniquePairs,1,1),IF(ROW()-1&lt;=ROWS(_xlpm.sortedPairs),INDEX(_xlpm.sortedPairs,ROW()-1,1),"")),"")</f>
        <v/>
      </c>
      <c r="M240" s="15">
        <f t="array" ref="M240">IFERROR(_xlfn.LET(_xlpm.pairs,_xlfn._xlws.FILTER($A$2:$D$391,($A$2:$A$391&lt;&gt;"")*(TRIM($D$2:$D$391)&lt;&gt;"")),_xlpm.uniquePairs,_xlfn.UNIQUE(_xlfn.HSTACK(INDEX(_xlpm.pairs,,1),INDEX(_xlpm.pairs,,4))),_xlpm.sortedPairs,_xlfn._xlws.SORT(_xlpm.uniquePairs,1,1),IF(ROW()-1&lt;=ROWS(_xlpm.sortedPairs),INDEX(_xlpm.sortedPairs,ROW()-1,2),"")),"")</f>
        <v/>
      </c>
      <c r="N240" s="15">
        <f t="array" ref="N240">IF(OR(L240="",M240=""),"",IFERROR(INDEX($E$2:$E$391,MATCH(1,($A$2:$A$391=L240)*($D$2:$D$391=M240),0)),""))</f>
        <v/>
      </c>
      <c r="O240" s="69">
        <f>IF(OR(L240="",M240=""),"",SUMIFS($J$2:$J$391,$A$2:$A$391,L240,$D$2:$D$391,M240))</f>
        <v/>
      </c>
      <c r="P240" s="6" t="n"/>
    </row>
    <row r="241">
      <c r="A241" s="44" t="inlineStr">
        <is>
          <t>PL202.2</t>
        </is>
      </c>
      <c r="B241" s="44" t="inlineStr">
        <is>
          <t>Ext. C (In)</t>
        </is>
      </c>
      <c r="C241" s="43" t="n"/>
      <c r="D241" s="43">
        <f>IF(C241="","",IFERROR(_xlfn.XLOOKUP(C241,HELPER!$A$2:$A$76,HELPER!$B$2:$B$76,""),D241))</f>
        <v/>
      </c>
      <c r="E241" s="43">
        <f>IFERROR(_xlfn.XLOOKUP(D241,HELPER!$B:$B,HELPER!$C:$C,""),"")</f>
        <v/>
      </c>
      <c r="F241" s="42">
        <f>IFERROR(_xlfn.XLOOKUP(D241,HELPER!$B:$B,HELPER!$D:$D,""),"")</f>
        <v/>
      </c>
      <c r="G241" s="42" t="n">
        <v>8</v>
      </c>
      <c r="H241" s="556" t="n"/>
      <c r="I241" s="72">
        <f>IF(AND(H241&lt;&gt;"",IFERROR(_xlfn.XLOOKUP(D241,HELPER!$B:$B,HELPER!$E:$E,""),"")=""),"Missing price",IFERROR(_xlfn.XLOOKUP(D241,HELPER!$B:$B,HELPER!$E:$E,"")," "))</f>
        <v/>
      </c>
      <c r="J241" s="72">
        <f>IFERROR(H241*(IF(G241=8,I241*HELPER!$G$2,BOM!I241*HELPER!$G$3))," ")</f>
        <v/>
      </c>
      <c r="K241" s="6" t="n"/>
      <c r="L241" s="14">
        <f t="array" ref="L241">IFERROR(_xlfn.LET(_xlpm.pairs,_xlfn._xlws.FILTER($A$2:$D$391,($A$2:$A$391&lt;&gt;"")*(TRIM($D$2:$D$391)&lt;&gt;"")),_xlpm.uniquePairs,_xlfn.UNIQUE(_xlfn.HSTACK(INDEX(_xlpm.pairs,,1),INDEX(_xlpm.pairs,,4))),_xlpm.sortedPairs,_xlfn._xlws.SORT(_xlpm.uniquePairs,1,1),IF(ROW()-1&lt;=ROWS(_xlpm.sortedPairs),INDEX(_xlpm.sortedPairs,ROW()-1,1),"")),"")</f>
        <v/>
      </c>
      <c r="M241" s="15">
        <f t="array" ref="M241">IFERROR(_xlfn.LET(_xlpm.pairs,_xlfn._xlws.FILTER($A$2:$D$391,($A$2:$A$391&lt;&gt;"")*(TRIM($D$2:$D$391)&lt;&gt;"")),_xlpm.uniquePairs,_xlfn.UNIQUE(_xlfn.HSTACK(INDEX(_xlpm.pairs,,1),INDEX(_xlpm.pairs,,4))),_xlpm.sortedPairs,_xlfn._xlws.SORT(_xlpm.uniquePairs,1,1),IF(ROW()-1&lt;=ROWS(_xlpm.sortedPairs),INDEX(_xlpm.sortedPairs,ROW()-1,2),"")),"")</f>
        <v/>
      </c>
      <c r="N241" s="15">
        <f t="array" ref="N241">IF(OR(L241="",M241=""),"",IFERROR(INDEX($E$2:$E$391,MATCH(1,($A$2:$A$391=L241)*($D$2:$D$391=M241),0)),""))</f>
        <v/>
      </c>
      <c r="O241" s="69">
        <f>IF(OR(L241="",M241=""),"",SUMIFS($J$2:$J$391,$A$2:$A$391,L241,$D$2:$D$391,M241))</f>
        <v/>
      </c>
      <c r="P241" s="6" t="n"/>
    </row>
    <row r="242">
      <c r="A242" s="44" t="inlineStr">
        <is>
          <t>PL202.3</t>
        </is>
      </c>
      <c r="B242" s="44" t="inlineStr">
        <is>
          <t>Ext. A (Out - Chillroll)</t>
        </is>
      </c>
      <c r="C242" s="43" t="inlineStr">
        <is>
          <t>PLA</t>
        </is>
      </c>
      <c r="D242" s="43">
        <f>IF(C242="","",IFERROR(_xlfn.XLOOKUP(C242,HELPER!$A$2:$A$76,HELPER!$B$2:$B$76,""),D242))</f>
        <v/>
      </c>
      <c r="E242" s="43">
        <f>IFERROR(_xlfn.XLOOKUP(D242,HELPER!$B:$B,HELPER!$C:$C,""),"")</f>
        <v/>
      </c>
      <c r="F242" s="42">
        <f>IFERROR(_xlfn.XLOOKUP(D242,HELPER!$B:$B,HELPER!$D:$D,""),"")</f>
        <v/>
      </c>
      <c r="G242" s="42" t="n">
        <v>24</v>
      </c>
      <c r="H242" s="556" t="n">
        <v>0.79</v>
      </c>
      <c r="I242" s="72">
        <f>IF(AND(H242&lt;&gt;"",IFERROR(_xlfn.XLOOKUP(D242,HELPER!$B:$B,HELPER!$E:$E,""),"")=""),"Missing price",IFERROR(_xlfn.XLOOKUP(D242,HELPER!$B:$B,HELPER!$E:$E,"")," "))</f>
        <v/>
      </c>
      <c r="J242" s="72">
        <f>IFERROR(H242*(IF(G242=8,I242*HELPER!$G$2,BOM!I242*HELPER!$G$3))," ")</f>
        <v/>
      </c>
      <c r="K242" s="6" t="n"/>
      <c r="L242" s="14">
        <f t="array" ref="L242">IFERROR(_xlfn.LET(_xlpm.pairs,_xlfn._xlws.FILTER($A$2:$D$391,($A$2:$A$391&lt;&gt;"")*(TRIM($D$2:$D$391)&lt;&gt;"")),_xlpm.uniquePairs,_xlfn.UNIQUE(_xlfn.HSTACK(INDEX(_xlpm.pairs,,1),INDEX(_xlpm.pairs,,4))),_xlpm.sortedPairs,_xlfn._xlws.SORT(_xlpm.uniquePairs,1,1),IF(ROW()-1&lt;=ROWS(_xlpm.sortedPairs),INDEX(_xlpm.sortedPairs,ROW()-1,1),"")),"")</f>
        <v/>
      </c>
      <c r="M242" s="15">
        <f t="array" ref="M242">IFERROR(_xlfn.LET(_xlpm.pairs,_xlfn._xlws.FILTER($A$2:$D$391,($A$2:$A$391&lt;&gt;"")*(TRIM($D$2:$D$391)&lt;&gt;"")),_xlpm.uniquePairs,_xlfn.UNIQUE(_xlfn.HSTACK(INDEX(_xlpm.pairs,,1),INDEX(_xlpm.pairs,,4))),_xlpm.sortedPairs,_xlfn._xlws.SORT(_xlpm.uniquePairs,1,1),IF(ROW()-1&lt;=ROWS(_xlpm.sortedPairs),INDEX(_xlpm.sortedPairs,ROW()-1,2),"")),"")</f>
        <v/>
      </c>
      <c r="N242" s="15">
        <f t="array" ref="N242">IF(OR(L242="",M242=""),"",IFERROR(INDEX($E$2:$E$391,MATCH(1,($A$2:$A$391=L242)*($D$2:$D$391=M242),0)),""))</f>
        <v/>
      </c>
      <c r="O242" s="69">
        <f>IF(OR(L242="",M242=""),"",SUMIFS($J$2:$J$391,$A$2:$A$391,L242,$D$2:$D$391,M242))</f>
        <v/>
      </c>
      <c r="P242" s="6" t="n"/>
    </row>
    <row r="243">
      <c r="A243" s="44" t="inlineStr">
        <is>
          <t>PL202.3</t>
        </is>
      </c>
      <c r="B243" s="44" t="inlineStr">
        <is>
          <t>Ext. A (Out - Chillroll)</t>
        </is>
      </c>
      <c r="C243" s="43" t="inlineStr">
        <is>
          <t>PCL</t>
        </is>
      </c>
      <c r="D243" s="43">
        <f>IF(C243="","",IFERROR(_xlfn.XLOOKUP(C243,HELPER!$A$2:$A$76,HELPER!$B$2:$B$76,""),D243))</f>
        <v/>
      </c>
      <c r="E243" s="43">
        <f>IFERROR(_xlfn.XLOOKUP(D243,HELPER!$B:$B,HELPER!$C:$C,""),"")</f>
        <v/>
      </c>
      <c r="F243" s="42">
        <f>IFERROR(_xlfn.XLOOKUP(D243,HELPER!$B:$B,HELPER!$D:$D,""),"")</f>
        <v/>
      </c>
      <c r="G243" s="42" t="n">
        <v>24</v>
      </c>
      <c r="H243" s="556" t="n">
        <v>0.19</v>
      </c>
      <c r="I243" s="72">
        <f>IF(AND(H243&lt;&gt;"",IFERROR(_xlfn.XLOOKUP(D243,HELPER!$B:$B,HELPER!$E:$E,""),"")=""),"Missing price",IFERROR(_xlfn.XLOOKUP(D243,HELPER!$B:$B,HELPER!$E:$E,"")," "))</f>
        <v/>
      </c>
      <c r="J243" s="72">
        <f>IFERROR(H243*(IF(G243=8,I243*HELPER!$G$2,BOM!I243*HELPER!$G$3))," ")</f>
        <v/>
      </c>
      <c r="K243" s="6" t="n"/>
      <c r="L243" s="14">
        <f t="array" ref="L243">IFERROR(_xlfn.LET(_xlpm.pairs,_xlfn._xlws.FILTER($A$2:$D$391,($A$2:$A$391&lt;&gt;"")*(TRIM($D$2:$D$391)&lt;&gt;"")),_xlpm.uniquePairs,_xlfn.UNIQUE(_xlfn.HSTACK(INDEX(_xlpm.pairs,,1),INDEX(_xlpm.pairs,,4))),_xlpm.sortedPairs,_xlfn._xlws.SORT(_xlpm.uniquePairs,1,1),IF(ROW()-1&lt;=ROWS(_xlpm.sortedPairs),INDEX(_xlpm.sortedPairs,ROW()-1,1),"")),"")</f>
        <v/>
      </c>
      <c r="M243" s="15">
        <f t="array" ref="M243">IFERROR(_xlfn.LET(_xlpm.pairs,_xlfn._xlws.FILTER($A$2:$D$391,($A$2:$A$391&lt;&gt;"")*(TRIM($D$2:$D$391)&lt;&gt;"")),_xlpm.uniquePairs,_xlfn.UNIQUE(_xlfn.HSTACK(INDEX(_xlpm.pairs,,1),INDEX(_xlpm.pairs,,4))),_xlpm.sortedPairs,_xlfn._xlws.SORT(_xlpm.uniquePairs,1,1),IF(ROW()-1&lt;=ROWS(_xlpm.sortedPairs),INDEX(_xlpm.sortedPairs,ROW()-1,2),"")),"")</f>
        <v/>
      </c>
      <c r="N243" s="15">
        <f t="array" ref="N243">IF(OR(L243="",M243=""),"",IFERROR(INDEX($E$2:$E$391,MATCH(1,($A$2:$A$391=L243)*($D$2:$D$391=M243),0)),""))</f>
        <v/>
      </c>
      <c r="O243" s="69">
        <f>IF(OR(L243="",M243=""),"",SUMIFS($J$2:$J$391,$A$2:$A$391,L243,$D$2:$D$391,M243))</f>
        <v/>
      </c>
      <c r="P243" s="6" t="n"/>
    </row>
    <row r="244">
      <c r="A244" s="44" t="inlineStr">
        <is>
          <t>PL202.3</t>
        </is>
      </c>
      <c r="B244" s="44" t="inlineStr">
        <is>
          <t>Ext. A (Out - Chillroll)</t>
        </is>
      </c>
      <c r="C244" s="43" t="inlineStr">
        <is>
          <t>AO-PBS</t>
        </is>
      </c>
      <c r="D244" s="43">
        <f>IF(C244="","",IFERROR(_xlfn.XLOOKUP(C244,HELPER!$A$2:$A$76,HELPER!$B$2:$B$76,""),D244))</f>
        <v/>
      </c>
      <c r="E244" s="43">
        <f>IFERROR(_xlfn.XLOOKUP(D244,HELPER!$B:$B,HELPER!$C:$C,""),"")</f>
        <v/>
      </c>
      <c r="F244" s="42">
        <f>IFERROR(_xlfn.XLOOKUP(D244,HELPER!$B:$B,HELPER!$D:$D,""),"")</f>
        <v/>
      </c>
      <c r="G244" s="42" t="n">
        <v>24</v>
      </c>
      <c r="H244" s="556" t="n">
        <v>0.02</v>
      </c>
      <c r="I244" s="72">
        <f>IF(AND(H244&lt;&gt;"",IFERROR(_xlfn.XLOOKUP(D244,HELPER!$B:$B,HELPER!$E:$E,""),"")=""),"Missing price",IFERROR(_xlfn.XLOOKUP(D244,HELPER!$B:$B,HELPER!$E:$E,"")," "))</f>
        <v/>
      </c>
      <c r="J244" s="72">
        <f>IFERROR(H244*(IF(G244=8,I244*HELPER!$G$2,BOM!I244*HELPER!$G$3))," ")</f>
        <v/>
      </c>
      <c r="K244" s="6" t="n"/>
      <c r="L244" s="14">
        <f t="array" ref="L244">IFERROR(_xlfn.LET(_xlpm.pairs,_xlfn._xlws.FILTER($A$2:$D$391,($A$2:$A$391&lt;&gt;"")*(TRIM($D$2:$D$391)&lt;&gt;"")),_xlpm.uniquePairs,_xlfn.UNIQUE(_xlfn.HSTACK(INDEX(_xlpm.pairs,,1),INDEX(_xlpm.pairs,,4))),_xlpm.sortedPairs,_xlfn._xlws.SORT(_xlpm.uniquePairs,1,1),IF(ROW()-1&lt;=ROWS(_xlpm.sortedPairs),INDEX(_xlpm.sortedPairs,ROW()-1,1),"")),"")</f>
        <v/>
      </c>
      <c r="M244" s="15">
        <f t="array" ref="M244">IFERROR(_xlfn.LET(_xlpm.pairs,_xlfn._xlws.FILTER($A$2:$D$391,($A$2:$A$391&lt;&gt;"")*(TRIM($D$2:$D$391)&lt;&gt;"")),_xlpm.uniquePairs,_xlfn.UNIQUE(_xlfn.HSTACK(INDEX(_xlpm.pairs,,1),INDEX(_xlpm.pairs,,4))),_xlpm.sortedPairs,_xlfn._xlws.SORT(_xlpm.uniquePairs,1,1),IF(ROW()-1&lt;=ROWS(_xlpm.sortedPairs),INDEX(_xlpm.sortedPairs,ROW()-1,2),"")),"")</f>
        <v/>
      </c>
      <c r="N244" s="15">
        <f t="array" ref="N244">IF(OR(L244="",M244=""),"",IFERROR(INDEX($E$2:$E$391,MATCH(1,($A$2:$A$391=L244)*($D$2:$D$391=M244),0)),""))</f>
        <v/>
      </c>
      <c r="O244" s="69">
        <f>IF(OR(L244="",M244=""),"",SUMIFS($J$2:$J$391,$A$2:$A$391,L244,$D$2:$D$391,M244))</f>
        <v/>
      </c>
      <c r="P244" s="6" t="n"/>
    </row>
    <row r="245">
      <c r="A245" s="44" t="inlineStr">
        <is>
          <t>PL202.3</t>
        </is>
      </c>
      <c r="B245" s="44" t="inlineStr">
        <is>
          <t>Ext. A (Out - Chillroll)</t>
        </is>
      </c>
      <c r="C245" s="43" t="n"/>
      <c r="D245" s="43">
        <f>IF(C245="","",IFERROR(_xlfn.XLOOKUP(C245,HELPER!$A$2:$A$76,HELPER!$B$2:$B$76,""),D245))</f>
        <v/>
      </c>
      <c r="E245" s="43">
        <f>IFERROR(_xlfn.XLOOKUP(D245,HELPER!$B:$B,HELPER!$C:$C,""),"")</f>
        <v/>
      </c>
      <c r="F245" s="42">
        <f>IFERROR(_xlfn.XLOOKUP(D245,HELPER!$B:$B,HELPER!$D:$D,""),"")</f>
        <v/>
      </c>
      <c r="G245" s="42" t="n">
        <v>24</v>
      </c>
      <c r="H245" s="556" t="n"/>
      <c r="I245" s="72">
        <f>IF(AND(H245&lt;&gt;"",IFERROR(_xlfn.XLOOKUP(D245,HELPER!$B:$B,HELPER!$E:$E,""),"")=""),"Missing price",IFERROR(_xlfn.XLOOKUP(D245,HELPER!$B:$B,HELPER!$E:$E,"")," "))</f>
        <v/>
      </c>
      <c r="J245" s="72">
        <f>IFERROR(H245*(IF(G245=8,I245*HELPER!$G$2,BOM!I245*HELPER!$G$3))," ")</f>
        <v/>
      </c>
      <c r="K245" s="6" t="n"/>
      <c r="L245" s="14">
        <f t="array" ref="L245">IFERROR(_xlfn.LET(_xlpm.pairs,_xlfn._xlws.FILTER($A$2:$D$391,($A$2:$A$391&lt;&gt;"")*(TRIM($D$2:$D$391)&lt;&gt;"")),_xlpm.uniquePairs,_xlfn.UNIQUE(_xlfn.HSTACK(INDEX(_xlpm.pairs,,1),INDEX(_xlpm.pairs,,4))),_xlpm.sortedPairs,_xlfn._xlws.SORT(_xlpm.uniquePairs,1,1),IF(ROW()-1&lt;=ROWS(_xlpm.sortedPairs),INDEX(_xlpm.sortedPairs,ROW()-1,1),"")),"")</f>
        <v/>
      </c>
      <c r="M245" s="15">
        <f t="array" ref="M245">IFERROR(_xlfn.LET(_xlpm.pairs,_xlfn._xlws.FILTER($A$2:$D$391,($A$2:$A$391&lt;&gt;"")*(TRIM($D$2:$D$391)&lt;&gt;"")),_xlpm.uniquePairs,_xlfn.UNIQUE(_xlfn.HSTACK(INDEX(_xlpm.pairs,,1),INDEX(_xlpm.pairs,,4))),_xlpm.sortedPairs,_xlfn._xlws.SORT(_xlpm.uniquePairs,1,1),IF(ROW()-1&lt;=ROWS(_xlpm.sortedPairs),INDEX(_xlpm.sortedPairs,ROW()-1,2),"")),"")</f>
        <v/>
      </c>
      <c r="N245" s="15">
        <f t="array" ref="N245">IF(OR(L245="",M245=""),"",IFERROR(INDEX($E$2:$E$391,MATCH(1,($A$2:$A$391=L245)*($D$2:$D$391=M245),0)),""))</f>
        <v/>
      </c>
      <c r="O245" s="69">
        <f>IF(OR(L245="",M245=""),"",SUMIFS($J$2:$J$391,$A$2:$A$391,L245,$D$2:$D$391,M245))</f>
        <v/>
      </c>
      <c r="P245" s="6" t="n"/>
    </row>
    <row r="246">
      <c r="A246" s="44" t="inlineStr">
        <is>
          <t>PL202.3</t>
        </is>
      </c>
      <c r="B246" s="44" t="inlineStr">
        <is>
          <t>Ext. A (Out - Chillroll)</t>
        </is>
      </c>
      <c r="C246" s="43" t="n"/>
      <c r="D246" s="43">
        <f>IF(C246="","",IFERROR(_xlfn.XLOOKUP(C246,HELPER!$A$2:$A$76,HELPER!$B$2:$B$76,""),D246))</f>
        <v/>
      </c>
      <c r="E246" s="43">
        <f>IFERROR(_xlfn.XLOOKUP(D246,HELPER!$B:$B,HELPER!$C:$C,""),"")</f>
        <v/>
      </c>
      <c r="F246" s="42">
        <f>IFERROR(_xlfn.XLOOKUP(D246,HELPER!$B:$B,HELPER!$D:$D,""),"")</f>
        <v/>
      </c>
      <c r="G246" s="42" t="n">
        <v>24</v>
      </c>
      <c r="H246" s="556" t="n"/>
      <c r="I246" s="72">
        <f>IF(AND(H246&lt;&gt;"",IFERROR(_xlfn.XLOOKUP(D246,HELPER!$B:$B,HELPER!$E:$E,""),"")=""),"Missing price",IFERROR(_xlfn.XLOOKUP(D246,HELPER!$B:$B,HELPER!$E:$E,"")," "))</f>
        <v/>
      </c>
      <c r="J246" s="72">
        <f>IFERROR(H246*(IF(G246=8,I246*HELPER!$G$2,BOM!I246*HELPER!$G$3))," ")</f>
        <v/>
      </c>
      <c r="K246" s="6" t="n"/>
      <c r="L246" s="14">
        <f t="array" ref="L246">IFERROR(_xlfn.LET(_xlpm.pairs,_xlfn._xlws.FILTER($A$2:$D$391,($A$2:$A$391&lt;&gt;"")*(TRIM($D$2:$D$391)&lt;&gt;"")),_xlpm.uniquePairs,_xlfn.UNIQUE(_xlfn.HSTACK(INDEX(_xlpm.pairs,,1),INDEX(_xlpm.pairs,,4))),_xlpm.sortedPairs,_xlfn._xlws.SORT(_xlpm.uniquePairs,1,1),IF(ROW()-1&lt;=ROWS(_xlpm.sortedPairs),INDEX(_xlpm.sortedPairs,ROW()-1,1),"")),"")</f>
        <v/>
      </c>
      <c r="M246" s="15">
        <f t="array" ref="M246">IFERROR(_xlfn.LET(_xlpm.pairs,_xlfn._xlws.FILTER($A$2:$D$391,($A$2:$A$391&lt;&gt;"")*(TRIM($D$2:$D$391)&lt;&gt;"")),_xlpm.uniquePairs,_xlfn.UNIQUE(_xlfn.HSTACK(INDEX(_xlpm.pairs,,1),INDEX(_xlpm.pairs,,4))),_xlpm.sortedPairs,_xlfn._xlws.SORT(_xlpm.uniquePairs,1,1),IF(ROW()-1&lt;=ROWS(_xlpm.sortedPairs),INDEX(_xlpm.sortedPairs,ROW()-1,2),"")),"")</f>
        <v/>
      </c>
      <c r="N246" s="15">
        <f t="array" ref="N246">IF(OR(L246="",M246=""),"",IFERROR(INDEX($E$2:$E$391,MATCH(1,($A$2:$A$391=L246)*($D$2:$D$391=M246),0)),""))</f>
        <v/>
      </c>
      <c r="O246" s="69">
        <f>IF(OR(L246="",M246=""),"",SUMIFS($J$2:$J$391,$A$2:$A$391,L246,$D$2:$D$391,M246))</f>
        <v/>
      </c>
      <c r="P246" s="6" t="n"/>
    </row>
    <row r="247">
      <c r="A247" s="44" t="inlineStr">
        <is>
          <t>PL202.3</t>
        </is>
      </c>
      <c r="B247" s="44" t="inlineStr">
        <is>
          <t>Ext. A (Out - Chillroll)</t>
        </is>
      </c>
      <c r="C247" s="43" t="n"/>
      <c r="D247" s="43">
        <f>IF(C247="","",IFERROR(_xlfn.XLOOKUP(C247,HELPER!$A$2:$A$76,HELPER!$B$2:$B$76,""),D247))</f>
        <v/>
      </c>
      <c r="E247" s="43">
        <f>IFERROR(_xlfn.XLOOKUP(D247,HELPER!$B:$B,HELPER!$C:$C,""),"")</f>
        <v/>
      </c>
      <c r="F247" s="42">
        <f>IFERROR(_xlfn.XLOOKUP(D247,HELPER!$B:$B,HELPER!$D:$D,""),"")</f>
        <v/>
      </c>
      <c r="G247" s="42" t="n">
        <v>24</v>
      </c>
      <c r="H247" s="556" t="n"/>
      <c r="I247" s="72">
        <f>IF(AND(H247&lt;&gt;"",IFERROR(_xlfn.XLOOKUP(D247,HELPER!$B:$B,HELPER!$E:$E,""),"")=""),"Missing price",IFERROR(_xlfn.XLOOKUP(D247,HELPER!$B:$B,HELPER!$E:$E,"")," "))</f>
        <v/>
      </c>
      <c r="J247" s="72">
        <f>IFERROR(H247*(IF(G247=8,I247*HELPER!$G$2,BOM!I247*HELPER!$G$3))," ")</f>
        <v/>
      </c>
      <c r="K247" s="6" t="n"/>
      <c r="L247" s="14">
        <f t="array" ref="L247">IFERROR(_xlfn.LET(_xlpm.pairs,_xlfn._xlws.FILTER($A$2:$D$391,($A$2:$A$391&lt;&gt;"")*(TRIM($D$2:$D$391)&lt;&gt;"")),_xlpm.uniquePairs,_xlfn.UNIQUE(_xlfn.HSTACK(INDEX(_xlpm.pairs,,1),INDEX(_xlpm.pairs,,4))),_xlpm.sortedPairs,_xlfn._xlws.SORT(_xlpm.uniquePairs,1,1),IF(ROW()-1&lt;=ROWS(_xlpm.sortedPairs),INDEX(_xlpm.sortedPairs,ROW()-1,1),"")),"")</f>
        <v/>
      </c>
      <c r="M247" s="15">
        <f t="array" ref="M247">IFERROR(_xlfn.LET(_xlpm.pairs,_xlfn._xlws.FILTER($A$2:$D$391,($A$2:$A$391&lt;&gt;"")*(TRIM($D$2:$D$391)&lt;&gt;"")),_xlpm.uniquePairs,_xlfn.UNIQUE(_xlfn.HSTACK(INDEX(_xlpm.pairs,,1),INDEX(_xlpm.pairs,,4))),_xlpm.sortedPairs,_xlfn._xlws.SORT(_xlpm.uniquePairs,1,1),IF(ROW()-1&lt;=ROWS(_xlpm.sortedPairs),INDEX(_xlpm.sortedPairs,ROW()-1,2),"")),"")</f>
        <v/>
      </c>
      <c r="N247" s="15">
        <f t="array" ref="N247">IF(OR(L247="",M247=""),"",IFERROR(INDEX($E$2:$E$391,MATCH(1,($A$2:$A$391=L247)*($D$2:$D$391=M247),0)),""))</f>
        <v/>
      </c>
      <c r="O247" s="69">
        <f>IF(OR(L247="",M247=""),"",SUMIFS($J$2:$J$391,$A$2:$A$391,L247,$D$2:$D$391,M247))</f>
        <v/>
      </c>
      <c r="P247" s="6" t="n"/>
    </row>
    <row r="248">
      <c r="A248" s="44" t="inlineStr">
        <is>
          <t>PL202.3</t>
        </is>
      </c>
      <c r="B248" s="44" t="inlineStr">
        <is>
          <t>Ext. A (Out - Chillroll)</t>
        </is>
      </c>
      <c r="C248" s="43" t="n"/>
      <c r="D248" s="43">
        <f>IF(C248="","",IFERROR(_xlfn.XLOOKUP(C248,HELPER!$A$2:$A$76,HELPER!$B$2:$B$76,""),D248))</f>
        <v/>
      </c>
      <c r="E248" s="43">
        <f>IFERROR(_xlfn.XLOOKUP(D248,HELPER!$B:$B,HELPER!$C:$C,""),"")</f>
        <v/>
      </c>
      <c r="F248" s="42">
        <f>IFERROR(_xlfn.XLOOKUP(D248,HELPER!$B:$B,HELPER!$D:$D,""),"")</f>
        <v/>
      </c>
      <c r="G248" s="42" t="n">
        <v>24</v>
      </c>
      <c r="H248" s="556" t="n"/>
      <c r="I248" s="72">
        <f>IF(AND(H248&lt;&gt;"",IFERROR(_xlfn.XLOOKUP(D248,HELPER!$B:$B,HELPER!$E:$E,""),"")=""),"Missing price",IFERROR(_xlfn.XLOOKUP(D248,HELPER!$B:$B,HELPER!$E:$E,"")," "))</f>
        <v/>
      </c>
      <c r="J248" s="72">
        <f>IFERROR(H248*(IF(G248=8,I248*HELPER!$G$2,BOM!I248*HELPER!$G$3))," ")</f>
        <v/>
      </c>
      <c r="K248" s="6" t="n"/>
      <c r="L248" s="14">
        <f t="array" ref="L248">IFERROR(_xlfn.LET(_xlpm.pairs,_xlfn._xlws.FILTER($A$2:$D$391,($A$2:$A$391&lt;&gt;"")*(TRIM($D$2:$D$391)&lt;&gt;"")),_xlpm.uniquePairs,_xlfn.UNIQUE(_xlfn.HSTACK(INDEX(_xlpm.pairs,,1),INDEX(_xlpm.pairs,,4))),_xlpm.sortedPairs,_xlfn._xlws.SORT(_xlpm.uniquePairs,1,1),IF(ROW()-1&lt;=ROWS(_xlpm.sortedPairs),INDEX(_xlpm.sortedPairs,ROW()-1,1),"")),"")</f>
        <v/>
      </c>
      <c r="M248" s="15">
        <f t="array" ref="M248">IFERROR(_xlfn.LET(_xlpm.pairs,_xlfn._xlws.FILTER($A$2:$D$391,($A$2:$A$391&lt;&gt;"")*(TRIM($D$2:$D$391)&lt;&gt;"")),_xlpm.uniquePairs,_xlfn.UNIQUE(_xlfn.HSTACK(INDEX(_xlpm.pairs,,1),INDEX(_xlpm.pairs,,4))),_xlpm.sortedPairs,_xlfn._xlws.SORT(_xlpm.uniquePairs,1,1),IF(ROW()-1&lt;=ROWS(_xlpm.sortedPairs),INDEX(_xlpm.sortedPairs,ROW()-1,2),"")),"")</f>
        <v/>
      </c>
      <c r="N248" s="15">
        <f t="array" ref="N248">IF(OR(L248="",M248=""),"",IFERROR(INDEX($E$2:$E$391,MATCH(1,($A$2:$A$391=L248)*($D$2:$D$391=M248),0)),""))</f>
        <v/>
      </c>
      <c r="O248" s="69">
        <f>IF(OR(L248="",M248=""),"",SUMIFS($J$2:$J$391,$A$2:$A$391,L248,$D$2:$D$391,M248))</f>
        <v/>
      </c>
      <c r="P248" s="6" t="n"/>
    </row>
    <row r="249">
      <c r="A249" s="44" t="inlineStr">
        <is>
          <t>PL202.3</t>
        </is>
      </c>
      <c r="B249" s="44" t="inlineStr">
        <is>
          <t>Ext. A (Out - Chillroll)</t>
        </is>
      </c>
      <c r="C249" s="43" t="n"/>
      <c r="D249" s="43">
        <f>IF(C249="","",IFERROR(_xlfn.XLOOKUP(C249,HELPER!$A$2:$A$76,HELPER!$B$2:$B$76,""),D249))</f>
        <v/>
      </c>
      <c r="E249" s="43">
        <f>IFERROR(_xlfn.XLOOKUP(D249,HELPER!$B:$B,HELPER!$C:$C,""),"")</f>
        <v/>
      </c>
      <c r="F249" s="42">
        <f>IFERROR(_xlfn.XLOOKUP(D249,HELPER!$B:$B,HELPER!$D:$D,""),"")</f>
        <v/>
      </c>
      <c r="G249" s="42" t="n">
        <v>24</v>
      </c>
      <c r="H249" s="556" t="n"/>
      <c r="I249" s="72">
        <f>IF(AND(H249&lt;&gt;"",IFERROR(_xlfn.XLOOKUP(D249,HELPER!$B:$B,HELPER!$E:$E,""),"")=""),"Missing price",IFERROR(_xlfn.XLOOKUP(D249,HELPER!$B:$B,HELPER!$E:$E,"")," "))</f>
        <v/>
      </c>
      <c r="J249" s="72">
        <f>IFERROR(H249*(IF(G249=8,I249*HELPER!$G$2,BOM!I249*HELPER!$G$3))," ")</f>
        <v/>
      </c>
      <c r="K249" s="6" t="n"/>
      <c r="L249" s="14">
        <f t="array" ref="L249">IFERROR(_xlfn.LET(_xlpm.pairs,_xlfn._xlws.FILTER($A$2:$D$391,($A$2:$A$391&lt;&gt;"")*(TRIM($D$2:$D$391)&lt;&gt;"")),_xlpm.uniquePairs,_xlfn.UNIQUE(_xlfn.HSTACK(INDEX(_xlpm.pairs,,1),INDEX(_xlpm.pairs,,4))),_xlpm.sortedPairs,_xlfn._xlws.SORT(_xlpm.uniquePairs,1,1),IF(ROW()-1&lt;=ROWS(_xlpm.sortedPairs),INDEX(_xlpm.sortedPairs,ROW()-1,1),"")),"")</f>
        <v/>
      </c>
      <c r="M249" s="15">
        <f t="array" ref="M249">IFERROR(_xlfn.LET(_xlpm.pairs,_xlfn._xlws.FILTER($A$2:$D$391,($A$2:$A$391&lt;&gt;"")*(TRIM($D$2:$D$391)&lt;&gt;"")),_xlpm.uniquePairs,_xlfn.UNIQUE(_xlfn.HSTACK(INDEX(_xlpm.pairs,,1),INDEX(_xlpm.pairs,,4))),_xlpm.sortedPairs,_xlfn._xlws.SORT(_xlpm.uniquePairs,1,1),IF(ROW()-1&lt;=ROWS(_xlpm.sortedPairs),INDEX(_xlpm.sortedPairs,ROW()-1,2),"")),"")</f>
        <v/>
      </c>
      <c r="N249" s="15">
        <f t="array" ref="N249">IF(OR(L249="",M249=""),"",IFERROR(INDEX($E$2:$E$391,MATCH(1,($A$2:$A$391=L249)*($D$2:$D$391=M249),0)),""))</f>
        <v/>
      </c>
      <c r="O249" s="69">
        <f>IF(OR(L249="",M249=""),"",SUMIFS($J$2:$J$391,$A$2:$A$391,L249,$D$2:$D$391,M249))</f>
        <v/>
      </c>
      <c r="P249" s="6" t="n"/>
    </row>
    <row r="250">
      <c r="A250" s="44" t="inlineStr">
        <is>
          <t>PL202.3</t>
        </is>
      </c>
      <c r="B250" s="44" t="inlineStr">
        <is>
          <t>Ext. A (Out - Chillroll)</t>
        </is>
      </c>
      <c r="C250" s="43" t="n"/>
      <c r="D250" s="43">
        <f>IF(C250="","",IFERROR(_xlfn.XLOOKUP(C250,HELPER!$A$2:$A$76,HELPER!$B$2:$B$76,""),D250))</f>
        <v/>
      </c>
      <c r="E250" s="43">
        <f>IFERROR(_xlfn.XLOOKUP(D250,HELPER!$B:$B,HELPER!$C:$C,""),"")</f>
        <v/>
      </c>
      <c r="F250" s="42">
        <f>IFERROR(_xlfn.XLOOKUP(D250,HELPER!$B:$B,HELPER!$D:$D,""),"")</f>
        <v/>
      </c>
      <c r="G250" s="42" t="n">
        <v>24</v>
      </c>
      <c r="H250" s="556" t="n"/>
      <c r="I250" s="72">
        <f>IF(AND(H250&lt;&gt;"",IFERROR(_xlfn.XLOOKUP(D250,HELPER!$B:$B,HELPER!$E:$E,""),"")=""),"Missing price",IFERROR(_xlfn.XLOOKUP(D250,HELPER!$B:$B,HELPER!$E:$E,"")," "))</f>
        <v/>
      </c>
      <c r="J250" s="72">
        <f>IFERROR(H250*(IF(G250=8,I250*HELPER!$G$2,BOM!I250*HELPER!$G$3))," ")</f>
        <v/>
      </c>
      <c r="K250" s="6" t="n"/>
      <c r="L250" s="14">
        <f t="array" ref="L250">IFERROR(_xlfn.LET(_xlpm.pairs,_xlfn._xlws.FILTER($A$2:$D$391,($A$2:$A$391&lt;&gt;"")*(TRIM($D$2:$D$391)&lt;&gt;"")),_xlpm.uniquePairs,_xlfn.UNIQUE(_xlfn.HSTACK(INDEX(_xlpm.pairs,,1),INDEX(_xlpm.pairs,,4))),_xlpm.sortedPairs,_xlfn._xlws.SORT(_xlpm.uniquePairs,1,1),IF(ROW()-1&lt;=ROWS(_xlpm.sortedPairs),INDEX(_xlpm.sortedPairs,ROW()-1,1),"")),"")</f>
        <v/>
      </c>
      <c r="M250" s="15">
        <f t="array" ref="M250">IFERROR(_xlfn.LET(_xlpm.pairs,_xlfn._xlws.FILTER($A$2:$D$391,($A$2:$A$391&lt;&gt;"")*(TRIM($D$2:$D$391)&lt;&gt;"")),_xlpm.uniquePairs,_xlfn.UNIQUE(_xlfn.HSTACK(INDEX(_xlpm.pairs,,1),INDEX(_xlpm.pairs,,4))),_xlpm.sortedPairs,_xlfn._xlws.SORT(_xlpm.uniquePairs,1,1),IF(ROW()-1&lt;=ROWS(_xlpm.sortedPairs),INDEX(_xlpm.sortedPairs,ROW()-1,2),"")),"")</f>
        <v/>
      </c>
      <c r="N250" s="15">
        <f t="array" ref="N250">IF(OR(L250="",M250=""),"",IFERROR(INDEX($E$2:$E$391,MATCH(1,($A$2:$A$391=L250)*($D$2:$D$391=M250),0)),""))</f>
        <v/>
      </c>
      <c r="O250" s="69">
        <f>IF(OR(L250="",M250=""),"",SUMIFS($J$2:$J$391,$A$2:$A$391,L250,$D$2:$D$391,M250))</f>
        <v/>
      </c>
      <c r="P250" s="6" t="n"/>
    </row>
    <row r="251">
      <c r="A251" s="44" t="inlineStr">
        <is>
          <t>PL202.3</t>
        </is>
      </c>
      <c r="B251" s="44" t="inlineStr">
        <is>
          <t>Ext. A (Out - Chillroll)</t>
        </is>
      </c>
      <c r="C251" s="43" t="n"/>
      <c r="D251" s="43">
        <f>IF(C251="","",IFERROR(_xlfn.XLOOKUP(C251,HELPER!$A$2:$A$76,HELPER!$B$2:$B$76,""),D251))</f>
        <v/>
      </c>
      <c r="E251" s="43">
        <f>IFERROR(_xlfn.XLOOKUP(D251,HELPER!$B:$B,HELPER!$C:$C,""),"")</f>
        <v/>
      </c>
      <c r="F251" s="42">
        <f>IFERROR(_xlfn.XLOOKUP(D251,HELPER!$B:$B,HELPER!$D:$D,""),"")</f>
        <v/>
      </c>
      <c r="G251" s="42" t="n">
        <v>24</v>
      </c>
      <c r="H251" s="556" t="n"/>
      <c r="I251" s="72">
        <f>IF(AND(H251&lt;&gt;"",IFERROR(_xlfn.XLOOKUP(D251,HELPER!$B:$B,HELPER!$E:$E,""),"")=""),"Missing price",IFERROR(_xlfn.XLOOKUP(D251,HELPER!$B:$B,HELPER!$E:$E,"")," "))</f>
        <v/>
      </c>
      <c r="J251" s="72">
        <f>IFERROR(H251*(IF(G251=8,I251*HELPER!$G$2,BOM!I251*HELPER!$G$3))," ")</f>
        <v/>
      </c>
      <c r="K251" s="6" t="n"/>
      <c r="L251" s="14">
        <f t="array" ref="L251">IFERROR(_xlfn.LET(_xlpm.pairs,_xlfn._xlws.FILTER($A$2:$D$391,($A$2:$A$391&lt;&gt;"")*(TRIM($D$2:$D$391)&lt;&gt;"")),_xlpm.uniquePairs,_xlfn.UNIQUE(_xlfn.HSTACK(INDEX(_xlpm.pairs,,1),INDEX(_xlpm.pairs,,4))),_xlpm.sortedPairs,_xlfn._xlws.SORT(_xlpm.uniquePairs,1,1),IF(ROW()-1&lt;=ROWS(_xlpm.sortedPairs),INDEX(_xlpm.sortedPairs,ROW()-1,1),"")),"")</f>
        <v/>
      </c>
      <c r="M251" s="15">
        <f t="array" ref="M251">IFERROR(_xlfn.LET(_xlpm.pairs,_xlfn._xlws.FILTER($A$2:$D$391,($A$2:$A$391&lt;&gt;"")*(TRIM($D$2:$D$391)&lt;&gt;"")),_xlpm.uniquePairs,_xlfn.UNIQUE(_xlfn.HSTACK(INDEX(_xlpm.pairs,,1),INDEX(_xlpm.pairs,,4))),_xlpm.sortedPairs,_xlfn._xlws.SORT(_xlpm.uniquePairs,1,1),IF(ROW()-1&lt;=ROWS(_xlpm.sortedPairs),INDEX(_xlpm.sortedPairs,ROW()-1,2),"")),"")</f>
        <v/>
      </c>
      <c r="N251" s="15">
        <f t="array" ref="N251">IF(OR(L251="",M251=""),"",IFERROR(INDEX($E$2:$E$391,MATCH(1,($A$2:$A$391=L251)*($D$2:$D$391=M251),0)),""))</f>
        <v/>
      </c>
      <c r="O251" s="69">
        <f>IF(OR(L251="",M251=""),"",SUMIFS($J$2:$J$391,$A$2:$A$391,L251,$D$2:$D$391,M251))</f>
        <v/>
      </c>
      <c r="P251" s="6" t="n"/>
    </row>
    <row r="252">
      <c r="A252" s="44" t="inlineStr">
        <is>
          <t>PL202.3</t>
        </is>
      </c>
      <c r="B252" s="44" t="inlineStr">
        <is>
          <t xml:space="preserve">Ext. B </t>
        </is>
      </c>
      <c r="C252" s="43" t="inlineStr">
        <is>
          <t>PVOH</t>
        </is>
      </c>
      <c r="D252" s="43">
        <f>IF(C252="","",IFERROR(_xlfn.XLOOKUP(C252,HELPER!$A$2:$A$76,HELPER!$B$2:$B$76,""),D252))</f>
        <v/>
      </c>
      <c r="E252" s="43">
        <f>IFERROR(_xlfn.XLOOKUP(D252,HELPER!$B:$B,HELPER!$C:$C,""),"")</f>
        <v/>
      </c>
      <c r="F252" s="66">
        <f>IFERROR(_xlfn.XLOOKUP(D252,HELPER!$B:$B,HELPER!$D:$D,""),"")</f>
        <v/>
      </c>
      <c r="G252" s="42" t="n">
        <v>8</v>
      </c>
      <c r="H252" s="556" t="n">
        <v>0.98</v>
      </c>
      <c r="I252" s="72">
        <f>IF(AND(H252&lt;&gt;"",IFERROR(_xlfn.XLOOKUP(D252,HELPER!$B:$B,HELPER!$E:$E,""),"")=""),"Missing price",IFERROR(_xlfn.XLOOKUP(D252,HELPER!$B:$B,HELPER!$E:$E,"")," "))</f>
        <v/>
      </c>
      <c r="J252" s="72">
        <f>IFERROR(H252*(IF(G252=8,I252*HELPER!$G$2,BOM!I252*HELPER!$G$3))," ")</f>
        <v/>
      </c>
      <c r="K252" s="6" t="n"/>
      <c r="L252" s="14">
        <f t="array" ref="L252">IFERROR(_xlfn.LET(_xlpm.pairs,_xlfn._xlws.FILTER($A$2:$D$391,($A$2:$A$391&lt;&gt;"")*(TRIM($D$2:$D$391)&lt;&gt;"")),_xlpm.uniquePairs,_xlfn.UNIQUE(_xlfn.HSTACK(INDEX(_xlpm.pairs,,1),INDEX(_xlpm.pairs,,4))),_xlpm.sortedPairs,_xlfn._xlws.SORT(_xlpm.uniquePairs,1,1),IF(ROW()-1&lt;=ROWS(_xlpm.sortedPairs),INDEX(_xlpm.sortedPairs,ROW()-1,1),"")),"")</f>
        <v/>
      </c>
      <c r="M252" s="15">
        <f t="array" ref="M252">IFERROR(_xlfn.LET(_xlpm.pairs,_xlfn._xlws.FILTER($A$2:$D$391,($A$2:$A$391&lt;&gt;"")*(TRIM($D$2:$D$391)&lt;&gt;"")),_xlpm.uniquePairs,_xlfn.UNIQUE(_xlfn.HSTACK(INDEX(_xlpm.pairs,,1),INDEX(_xlpm.pairs,,4))),_xlpm.sortedPairs,_xlfn._xlws.SORT(_xlpm.uniquePairs,1,1),IF(ROW()-1&lt;=ROWS(_xlpm.sortedPairs),INDEX(_xlpm.sortedPairs,ROW()-1,2),"")),"")</f>
        <v/>
      </c>
      <c r="N252" s="15">
        <f t="array" ref="N252">IF(OR(L252="",M252=""),"",IFERROR(INDEX($E$2:$E$391,MATCH(1,($A$2:$A$391=L252)*($D$2:$D$391=M252),0)),""))</f>
        <v/>
      </c>
      <c r="O252" s="69">
        <f>IF(OR(L252="",M252=""),"",SUMIFS($J$2:$J$391,$A$2:$A$391,L252,$D$2:$D$391,M252))</f>
        <v/>
      </c>
      <c r="P252" s="6" t="n"/>
    </row>
    <row r="253">
      <c r="A253" s="44" t="inlineStr">
        <is>
          <t>PL202.3</t>
        </is>
      </c>
      <c r="B253" s="44" t="inlineStr">
        <is>
          <t xml:space="preserve">Ext. B </t>
        </is>
      </c>
      <c r="C253" s="43" t="inlineStr">
        <is>
          <t>AO-PBS</t>
        </is>
      </c>
      <c r="D253" s="43">
        <f>IF(C253="","",IFERROR(_xlfn.XLOOKUP(C253,HELPER!$A$2:$A$76,HELPER!$B$2:$B$76,""),D253))</f>
        <v/>
      </c>
      <c r="E253" s="43">
        <f>IFERROR(_xlfn.XLOOKUP(D253,HELPER!$B:$B,HELPER!$C:$C,""),"")</f>
        <v/>
      </c>
      <c r="F253" s="42">
        <f>IFERROR(_xlfn.XLOOKUP(D253,HELPER!$B:$B,HELPER!$D:$D,""),"")</f>
        <v/>
      </c>
      <c r="G253" s="42" t="n">
        <v>8</v>
      </c>
      <c r="H253" s="556" t="n">
        <v>0.02</v>
      </c>
      <c r="I253" s="72">
        <f>IF(AND(H253&lt;&gt;"",IFERROR(_xlfn.XLOOKUP(D253,HELPER!$B:$B,HELPER!$E:$E,""),"")=""),"Missing price",IFERROR(_xlfn.XLOOKUP(D253,HELPER!$B:$B,HELPER!$E:$E,"")," "))</f>
        <v/>
      </c>
      <c r="J253" s="72">
        <f>IFERROR(H253*(IF(G253=8,I253*HELPER!$G$2,BOM!I253*HELPER!$G$3))," ")</f>
        <v/>
      </c>
      <c r="K253" s="6" t="n"/>
      <c r="L253" s="14">
        <f t="array" ref="L253">IFERROR(_xlfn.LET(_xlpm.pairs,_xlfn._xlws.FILTER($A$2:$D$391,($A$2:$A$391&lt;&gt;"")*(TRIM($D$2:$D$391)&lt;&gt;"")),_xlpm.uniquePairs,_xlfn.UNIQUE(_xlfn.HSTACK(INDEX(_xlpm.pairs,,1),INDEX(_xlpm.pairs,,4))),_xlpm.sortedPairs,_xlfn._xlws.SORT(_xlpm.uniquePairs,1,1),IF(ROW()-1&lt;=ROWS(_xlpm.sortedPairs),INDEX(_xlpm.sortedPairs,ROW()-1,1),"")),"")</f>
        <v/>
      </c>
      <c r="M253" s="15">
        <f t="array" ref="M253">IFERROR(_xlfn.LET(_xlpm.pairs,_xlfn._xlws.FILTER($A$2:$D$391,($A$2:$A$391&lt;&gt;"")*(TRIM($D$2:$D$391)&lt;&gt;"")),_xlpm.uniquePairs,_xlfn.UNIQUE(_xlfn.HSTACK(INDEX(_xlpm.pairs,,1),INDEX(_xlpm.pairs,,4))),_xlpm.sortedPairs,_xlfn._xlws.SORT(_xlpm.uniquePairs,1,1),IF(ROW()-1&lt;=ROWS(_xlpm.sortedPairs),INDEX(_xlpm.sortedPairs,ROW()-1,2),"")),"")</f>
        <v/>
      </c>
      <c r="N253" s="15">
        <f t="array" ref="N253">IF(OR(L253="",M253=""),"",IFERROR(INDEX($E$2:$E$391,MATCH(1,($A$2:$A$391=L253)*($D$2:$D$391=M253),0)),""))</f>
        <v/>
      </c>
      <c r="O253" s="69">
        <f>IF(OR(L253="",M253=""),"",SUMIFS($J$2:$J$391,$A$2:$A$391,L253,$D$2:$D$391,M253))</f>
        <v/>
      </c>
      <c r="P253" s="6" t="n"/>
    </row>
    <row r="254">
      <c r="A254" s="44" t="inlineStr">
        <is>
          <t>PL202.3</t>
        </is>
      </c>
      <c r="B254" s="44" t="inlineStr">
        <is>
          <t xml:space="preserve">Ext. B </t>
        </is>
      </c>
      <c r="C254" s="43" t="n"/>
      <c r="D254" s="43">
        <f>IF(C254="","",IFERROR(_xlfn.XLOOKUP(C254,HELPER!$A$2:$A$76,HELPER!$B$2:$B$76,""),D254))</f>
        <v/>
      </c>
      <c r="E254" s="43">
        <f>IFERROR(_xlfn.XLOOKUP(D254,HELPER!$B:$B,HELPER!$C:$C,""),"")</f>
        <v/>
      </c>
      <c r="F254" s="42">
        <f>IFERROR(_xlfn.XLOOKUP(D254,HELPER!$B:$B,HELPER!$D:$D,""),"")</f>
        <v/>
      </c>
      <c r="G254" s="42" t="n">
        <v>8</v>
      </c>
      <c r="H254" s="556" t="n"/>
      <c r="I254" s="72">
        <f>IF(AND(H254&lt;&gt;"",IFERROR(_xlfn.XLOOKUP(D254,HELPER!$B:$B,HELPER!$E:$E,""),"")=""),"Missing price",IFERROR(_xlfn.XLOOKUP(D254,HELPER!$B:$B,HELPER!$E:$E,"")," "))</f>
        <v/>
      </c>
      <c r="J254" s="72">
        <f>IFERROR(H254*(IF(G254=8,I254*HELPER!$G$2,BOM!I254*HELPER!$G$3))," ")</f>
        <v/>
      </c>
      <c r="K254" s="6" t="n"/>
      <c r="L254" s="14">
        <f t="array" ref="L254">IFERROR(_xlfn.LET(_xlpm.pairs,_xlfn._xlws.FILTER($A$2:$D$391,($A$2:$A$391&lt;&gt;"")*(TRIM($D$2:$D$391)&lt;&gt;"")),_xlpm.uniquePairs,_xlfn.UNIQUE(_xlfn.HSTACK(INDEX(_xlpm.pairs,,1),INDEX(_xlpm.pairs,,4))),_xlpm.sortedPairs,_xlfn._xlws.SORT(_xlpm.uniquePairs,1,1),IF(ROW()-1&lt;=ROWS(_xlpm.sortedPairs),INDEX(_xlpm.sortedPairs,ROW()-1,1),"")),"")</f>
        <v/>
      </c>
      <c r="M254" s="15">
        <f t="array" ref="M254">IFERROR(_xlfn.LET(_xlpm.pairs,_xlfn._xlws.FILTER($A$2:$D$391,($A$2:$A$391&lt;&gt;"")*(TRIM($D$2:$D$391)&lt;&gt;"")),_xlpm.uniquePairs,_xlfn.UNIQUE(_xlfn.HSTACK(INDEX(_xlpm.pairs,,1),INDEX(_xlpm.pairs,,4))),_xlpm.sortedPairs,_xlfn._xlws.SORT(_xlpm.uniquePairs,1,1),IF(ROW()-1&lt;=ROWS(_xlpm.sortedPairs),INDEX(_xlpm.sortedPairs,ROW()-1,2),"")),"")</f>
        <v/>
      </c>
      <c r="N254" s="15">
        <f t="array" ref="N254">IF(OR(L254="",M254=""),"",IFERROR(INDEX($E$2:$E$391,MATCH(1,($A$2:$A$391=L254)*($D$2:$D$391=M254),0)),""))</f>
        <v/>
      </c>
      <c r="O254" s="69">
        <f>IF(OR(L254="",M254=""),"",SUMIFS($J$2:$J$391,$A$2:$A$391,L254,$D$2:$D$391,M254))</f>
        <v/>
      </c>
      <c r="P254" s="6" t="n"/>
    </row>
    <row r="255">
      <c r="A255" s="44" t="inlineStr">
        <is>
          <t>PL202.3</t>
        </is>
      </c>
      <c r="B255" s="44" t="inlineStr">
        <is>
          <t xml:space="preserve">Ext. B </t>
        </is>
      </c>
      <c r="C255" s="43" t="n"/>
      <c r="D255" s="43">
        <f>IF(C255="","",IFERROR(_xlfn.XLOOKUP(C255,HELPER!$A$2:$A$76,HELPER!$B$2:$B$76,""),D255))</f>
        <v/>
      </c>
      <c r="E255" s="43">
        <f>IFERROR(_xlfn.XLOOKUP(D255,HELPER!$B:$B,HELPER!$C:$C,""),"")</f>
        <v/>
      </c>
      <c r="F255" s="42">
        <f>IFERROR(_xlfn.XLOOKUP(D255,HELPER!$B:$B,HELPER!$D:$D,""),"")</f>
        <v/>
      </c>
      <c r="G255" s="42" t="n">
        <v>8</v>
      </c>
      <c r="H255" s="556" t="n"/>
      <c r="I255" s="72">
        <f>IF(AND(H255&lt;&gt;"",IFERROR(_xlfn.XLOOKUP(D255,HELPER!$B:$B,HELPER!$E:$E,""),"")=""),"Missing price",IFERROR(_xlfn.XLOOKUP(D255,HELPER!$B:$B,HELPER!$E:$E,"")," "))</f>
        <v/>
      </c>
      <c r="J255" s="72">
        <f>IFERROR(H255*(IF(G255=8,I255*HELPER!$G$2,BOM!I255*HELPER!$G$3))," ")</f>
        <v/>
      </c>
      <c r="K255" s="6" t="n"/>
      <c r="L255" s="14">
        <f t="array" ref="L255">IFERROR(_xlfn.LET(_xlpm.pairs,_xlfn._xlws.FILTER($A$2:$D$391,($A$2:$A$391&lt;&gt;"")*(TRIM($D$2:$D$391)&lt;&gt;"")),_xlpm.uniquePairs,_xlfn.UNIQUE(_xlfn.HSTACK(INDEX(_xlpm.pairs,,1),INDEX(_xlpm.pairs,,4))),_xlpm.sortedPairs,_xlfn._xlws.SORT(_xlpm.uniquePairs,1,1),IF(ROW()-1&lt;=ROWS(_xlpm.sortedPairs),INDEX(_xlpm.sortedPairs,ROW()-1,1),"")),"")</f>
        <v/>
      </c>
      <c r="M255" s="15">
        <f t="array" ref="M255">IFERROR(_xlfn.LET(_xlpm.pairs,_xlfn._xlws.FILTER($A$2:$D$391,($A$2:$A$391&lt;&gt;"")*(TRIM($D$2:$D$391)&lt;&gt;"")),_xlpm.uniquePairs,_xlfn.UNIQUE(_xlfn.HSTACK(INDEX(_xlpm.pairs,,1),INDEX(_xlpm.pairs,,4))),_xlpm.sortedPairs,_xlfn._xlws.SORT(_xlpm.uniquePairs,1,1),IF(ROW()-1&lt;=ROWS(_xlpm.sortedPairs),INDEX(_xlpm.sortedPairs,ROW()-1,2),"")),"")</f>
        <v/>
      </c>
      <c r="N255" s="15">
        <f t="array" ref="N255">IF(OR(L255="",M255=""),"",IFERROR(INDEX($E$2:$E$391,MATCH(1,($A$2:$A$391=L255)*($D$2:$D$391=M255),0)),""))</f>
        <v/>
      </c>
      <c r="O255" s="69">
        <f>IF(OR(L255="",M255=""),"",SUMIFS($J$2:$J$391,$A$2:$A$391,L255,$D$2:$D$391,M255))</f>
        <v/>
      </c>
      <c r="P255" s="6" t="n"/>
    </row>
    <row r="256">
      <c r="A256" s="44" t="inlineStr">
        <is>
          <t>PL202.3</t>
        </is>
      </c>
      <c r="B256" s="44" t="inlineStr">
        <is>
          <t xml:space="preserve">Ext. B </t>
        </is>
      </c>
      <c r="C256" s="43" t="n"/>
      <c r="D256" s="43">
        <f>IF(C256="","",IFERROR(_xlfn.XLOOKUP(C256,HELPER!$A$2:$A$76,HELPER!$B$2:$B$76,""),D256))</f>
        <v/>
      </c>
      <c r="E256" s="43">
        <f>IFERROR(_xlfn.XLOOKUP(D256,HELPER!$B:$B,HELPER!$C:$C,""),"")</f>
        <v/>
      </c>
      <c r="F256" s="42">
        <f>IFERROR(_xlfn.XLOOKUP(D256,HELPER!$B:$B,HELPER!$D:$D,""),"")</f>
        <v/>
      </c>
      <c r="G256" s="42" t="n">
        <v>8</v>
      </c>
      <c r="H256" s="556" t="n"/>
      <c r="I256" s="72">
        <f>IF(AND(H256&lt;&gt;"",IFERROR(_xlfn.XLOOKUP(D256,HELPER!$B:$B,HELPER!$E:$E,""),"")=""),"Missing price",IFERROR(_xlfn.XLOOKUP(D256,HELPER!$B:$B,HELPER!$E:$E,"")," "))</f>
        <v/>
      </c>
      <c r="J256" s="72">
        <f>IFERROR(H256*(IF(G256=8,I256*HELPER!$G$2,BOM!I256*HELPER!$G$3))," ")</f>
        <v/>
      </c>
      <c r="K256" s="6" t="n"/>
      <c r="L256" s="14">
        <f t="array" ref="L256">IFERROR(_xlfn.LET(_xlpm.pairs,_xlfn._xlws.FILTER($A$2:$D$391,($A$2:$A$391&lt;&gt;"")*(TRIM($D$2:$D$391)&lt;&gt;"")),_xlpm.uniquePairs,_xlfn.UNIQUE(_xlfn.HSTACK(INDEX(_xlpm.pairs,,1),INDEX(_xlpm.pairs,,4))),_xlpm.sortedPairs,_xlfn._xlws.SORT(_xlpm.uniquePairs,1,1),IF(ROW()-1&lt;=ROWS(_xlpm.sortedPairs),INDEX(_xlpm.sortedPairs,ROW()-1,1),"")),"")</f>
        <v/>
      </c>
      <c r="M256" s="15">
        <f t="array" ref="M256">IFERROR(_xlfn.LET(_xlpm.pairs,_xlfn._xlws.FILTER($A$2:$D$391,($A$2:$A$391&lt;&gt;"")*(TRIM($D$2:$D$391)&lt;&gt;"")),_xlpm.uniquePairs,_xlfn.UNIQUE(_xlfn.HSTACK(INDEX(_xlpm.pairs,,1),INDEX(_xlpm.pairs,,4))),_xlpm.sortedPairs,_xlfn._xlws.SORT(_xlpm.uniquePairs,1,1),IF(ROW()-1&lt;=ROWS(_xlpm.sortedPairs),INDEX(_xlpm.sortedPairs,ROW()-1,2),"")),"")</f>
        <v/>
      </c>
      <c r="N256" s="15">
        <f t="array" ref="N256">IF(OR(L256="",M256=""),"",IFERROR(INDEX($E$2:$E$391,MATCH(1,($A$2:$A$391=L256)*($D$2:$D$391=M256),0)),""))</f>
        <v/>
      </c>
      <c r="O256" s="69">
        <f>IF(OR(L256="",M256=""),"",SUMIFS($J$2:$J$391,$A$2:$A$391,L256,$D$2:$D$391,M256))</f>
        <v/>
      </c>
      <c r="P256" s="6" t="n"/>
    </row>
    <row r="257">
      <c r="A257" s="44" t="inlineStr">
        <is>
          <t>PL202.3</t>
        </is>
      </c>
      <c r="B257" s="44" t="inlineStr">
        <is>
          <t xml:space="preserve">Ext. B </t>
        </is>
      </c>
      <c r="C257" s="43" t="n"/>
      <c r="D257" s="43">
        <f>IF(C257="","",IFERROR(_xlfn.XLOOKUP(C257,HELPER!$A$2:$A$76,HELPER!$B$2:$B$76,""),D257))</f>
        <v/>
      </c>
      <c r="E257" s="43">
        <f>IFERROR(_xlfn.XLOOKUP(D257,HELPER!$B:$B,HELPER!$C:$C,""),"")</f>
        <v/>
      </c>
      <c r="F257" s="42">
        <f>IFERROR(_xlfn.XLOOKUP(D257,HELPER!$B:$B,HELPER!$D:$D,""),"")</f>
        <v/>
      </c>
      <c r="G257" s="42" t="n">
        <v>8</v>
      </c>
      <c r="H257" s="556" t="n"/>
      <c r="I257" s="72">
        <f>IF(AND(H257&lt;&gt;"",IFERROR(_xlfn.XLOOKUP(D257,HELPER!$B:$B,HELPER!$E:$E,""),"")=""),"Missing price",IFERROR(_xlfn.XLOOKUP(D257,HELPER!$B:$B,HELPER!$E:$E,"")," "))</f>
        <v/>
      </c>
      <c r="J257" s="72">
        <f>IFERROR(H257*(IF(G257=8,I257*HELPER!$G$2,BOM!I257*HELPER!$G$3))," ")</f>
        <v/>
      </c>
      <c r="K257" s="6" t="n"/>
      <c r="L257" s="14">
        <f t="array" ref="L257">IFERROR(_xlfn.LET(_xlpm.pairs,_xlfn._xlws.FILTER($A$2:$D$391,($A$2:$A$391&lt;&gt;"")*(TRIM($D$2:$D$391)&lt;&gt;"")),_xlpm.uniquePairs,_xlfn.UNIQUE(_xlfn.HSTACK(INDEX(_xlpm.pairs,,1),INDEX(_xlpm.pairs,,4))),_xlpm.sortedPairs,_xlfn._xlws.SORT(_xlpm.uniquePairs,1,1),IF(ROW()-1&lt;=ROWS(_xlpm.sortedPairs),INDEX(_xlpm.sortedPairs,ROW()-1,1),"")),"")</f>
        <v/>
      </c>
      <c r="M257" s="15">
        <f t="array" ref="M257">IFERROR(_xlfn.LET(_xlpm.pairs,_xlfn._xlws.FILTER($A$2:$D$391,($A$2:$A$391&lt;&gt;"")*(TRIM($D$2:$D$391)&lt;&gt;"")),_xlpm.uniquePairs,_xlfn.UNIQUE(_xlfn.HSTACK(INDEX(_xlpm.pairs,,1),INDEX(_xlpm.pairs,,4))),_xlpm.sortedPairs,_xlfn._xlws.SORT(_xlpm.uniquePairs,1,1),IF(ROW()-1&lt;=ROWS(_xlpm.sortedPairs),INDEX(_xlpm.sortedPairs,ROW()-1,2),"")),"")</f>
        <v/>
      </c>
      <c r="N257" s="15">
        <f t="array" ref="N257">IF(OR(L257="",M257=""),"",IFERROR(INDEX($E$2:$E$391,MATCH(1,($A$2:$A$391=L257)*($D$2:$D$391=M257),0)),""))</f>
        <v/>
      </c>
      <c r="O257" s="69">
        <f>IF(OR(L257="",M257=""),"",SUMIFS($J$2:$J$391,$A$2:$A$391,L257,$D$2:$D$391,M257))</f>
        <v/>
      </c>
      <c r="P257" s="6" t="n"/>
    </row>
    <row r="258">
      <c r="A258" s="44" t="inlineStr">
        <is>
          <t>PL202.3</t>
        </is>
      </c>
      <c r="B258" s="44" t="inlineStr">
        <is>
          <t xml:space="preserve">Ext. B </t>
        </is>
      </c>
      <c r="C258" s="43" t="n"/>
      <c r="D258" s="43">
        <f>IF(C258="","",IFERROR(_xlfn.XLOOKUP(C258,HELPER!$A$2:$A$76,HELPER!$B$2:$B$76,""),D258))</f>
        <v/>
      </c>
      <c r="E258" s="43">
        <f>IFERROR(_xlfn.XLOOKUP(D258,HELPER!$B:$B,HELPER!$C:$C,""),"")</f>
        <v/>
      </c>
      <c r="F258" s="42">
        <f>IFERROR(_xlfn.XLOOKUP(D258,HELPER!$B:$B,HELPER!$D:$D,""),"")</f>
        <v/>
      </c>
      <c r="G258" s="42" t="n">
        <v>8</v>
      </c>
      <c r="H258" s="556" t="n"/>
      <c r="I258" s="72">
        <f>IF(AND(H258&lt;&gt;"",IFERROR(_xlfn.XLOOKUP(D258,HELPER!$B:$B,HELPER!$E:$E,""),"")=""),"Missing price",IFERROR(_xlfn.XLOOKUP(D258,HELPER!$B:$B,HELPER!$E:$E,"")," "))</f>
        <v/>
      </c>
      <c r="J258" s="72">
        <f>IFERROR(H258*(IF(G258=8,I258*HELPER!$G$2,BOM!I258*HELPER!$G$3))," ")</f>
        <v/>
      </c>
      <c r="K258" s="6" t="n"/>
      <c r="L258" s="14">
        <f t="array" ref="L258">IFERROR(_xlfn.LET(_xlpm.pairs,_xlfn._xlws.FILTER($A$2:$D$391,($A$2:$A$391&lt;&gt;"")*(TRIM($D$2:$D$391)&lt;&gt;"")),_xlpm.uniquePairs,_xlfn.UNIQUE(_xlfn.HSTACK(INDEX(_xlpm.pairs,,1),INDEX(_xlpm.pairs,,4))),_xlpm.sortedPairs,_xlfn._xlws.SORT(_xlpm.uniquePairs,1,1),IF(ROW()-1&lt;=ROWS(_xlpm.sortedPairs),INDEX(_xlpm.sortedPairs,ROW()-1,1),"")),"")</f>
        <v/>
      </c>
      <c r="M258" s="15">
        <f t="array" ref="M258">IFERROR(_xlfn.LET(_xlpm.pairs,_xlfn._xlws.FILTER($A$2:$D$391,($A$2:$A$391&lt;&gt;"")*(TRIM($D$2:$D$391)&lt;&gt;"")),_xlpm.uniquePairs,_xlfn.UNIQUE(_xlfn.HSTACK(INDEX(_xlpm.pairs,,1),INDEX(_xlpm.pairs,,4))),_xlpm.sortedPairs,_xlfn._xlws.SORT(_xlpm.uniquePairs,1,1),IF(ROW()-1&lt;=ROWS(_xlpm.sortedPairs),INDEX(_xlpm.sortedPairs,ROW()-1,2),"")),"")</f>
        <v/>
      </c>
      <c r="N258" s="15">
        <f t="array" ref="N258">IF(OR(L258="",M258=""),"",IFERROR(INDEX($E$2:$E$391,MATCH(1,($A$2:$A$391=L258)*($D$2:$D$391=M258),0)),""))</f>
        <v/>
      </c>
      <c r="O258" s="69">
        <f>IF(OR(L258="",M258=""),"",SUMIFS($J$2:$J$391,$A$2:$A$391,L258,$D$2:$D$391,M258))</f>
        <v/>
      </c>
      <c r="P258" s="6" t="n"/>
    </row>
    <row r="259">
      <c r="A259" s="44" t="inlineStr">
        <is>
          <t>PL202.3</t>
        </is>
      </c>
      <c r="B259" s="44" t="inlineStr">
        <is>
          <t xml:space="preserve">Ext. B </t>
        </is>
      </c>
      <c r="C259" s="43" t="n"/>
      <c r="D259" s="43">
        <f>IF(C259="","",IFERROR(_xlfn.XLOOKUP(C259,HELPER!$A$2:$A$76,HELPER!$B$2:$B$76,""),D259))</f>
        <v/>
      </c>
      <c r="E259" s="43">
        <f>IFERROR(_xlfn.XLOOKUP(D259,HELPER!$B:$B,HELPER!$C:$C,""),"")</f>
        <v/>
      </c>
      <c r="F259" s="42">
        <f>IFERROR(_xlfn.XLOOKUP(D259,HELPER!$B:$B,HELPER!$D:$D,""),"")</f>
        <v/>
      </c>
      <c r="G259" s="42" t="n">
        <v>8</v>
      </c>
      <c r="H259" s="556" t="n"/>
      <c r="I259" s="72">
        <f>IF(AND(H259&lt;&gt;"",IFERROR(_xlfn.XLOOKUP(D259,HELPER!$B:$B,HELPER!$E:$E,""),"")=""),"Missing price",IFERROR(_xlfn.XLOOKUP(D259,HELPER!$B:$B,HELPER!$E:$E,"")," "))</f>
        <v/>
      </c>
      <c r="J259" s="72">
        <f>IFERROR(H259*(IF(G259=8,I259*HELPER!$G$2,BOM!I259*HELPER!$G$3))," ")</f>
        <v/>
      </c>
      <c r="K259" s="6" t="n"/>
      <c r="L259" s="14">
        <f t="array" ref="L259">IFERROR(_xlfn.LET(_xlpm.pairs,_xlfn._xlws.FILTER($A$2:$D$391,($A$2:$A$391&lt;&gt;"")*(TRIM($D$2:$D$391)&lt;&gt;"")),_xlpm.uniquePairs,_xlfn.UNIQUE(_xlfn.HSTACK(INDEX(_xlpm.pairs,,1),INDEX(_xlpm.pairs,,4))),_xlpm.sortedPairs,_xlfn._xlws.SORT(_xlpm.uniquePairs,1,1),IF(ROW()-1&lt;=ROWS(_xlpm.sortedPairs),INDEX(_xlpm.sortedPairs,ROW()-1,1),"")),"")</f>
        <v/>
      </c>
      <c r="M259" s="15">
        <f t="array" ref="M259">IFERROR(_xlfn.LET(_xlpm.pairs,_xlfn._xlws.FILTER($A$2:$D$391,($A$2:$A$391&lt;&gt;"")*(TRIM($D$2:$D$391)&lt;&gt;"")),_xlpm.uniquePairs,_xlfn.UNIQUE(_xlfn.HSTACK(INDEX(_xlpm.pairs,,1),INDEX(_xlpm.pairs,,4))),_xlpm.sortedPairs,_xlfn._xlws.SORT(_xlpm.uniquePairs,1,1),IF(ROW()-1&lt;=ROWS(_xlpm.sortedPairs),INDEX(_xlpm.sortedPairs,ROW()-1,2),"")),"")</f>
        <v/>
      </c>
      <c r="N259" s="15">
        <f t="array" ref="N259">IF(OR(L259="",M259=""),"",IFERROR(INDEX($E$2:$E$391,MATCH(1,($A$2:$A$391=L259)*($D$2:$D$391=M259),0)),""))</f>
        <v/>
      </c>
      <c r="O259" s="69">
        <f>IF(OR(L259="",M259=""),"",SUMIFS($J$2:$J$391,$A$2:$A$391,L259,$D$2:$D$391,M259))</f>
        <v/>
      </c>
      <c r="P259" s="6" t="n"/>
    </row>
    <row r="260">
      <c r="A260" s="44" t="inlineStr">
        <is>
          <t>PL202.3</t>
        </is>
      </c>
      <c r="B260" s="44" t="inlineStr">
        <is>
          <t xml:space="preserve">Ext. B </t>
        </is>
      </c>
      <c r="C260" s="43" t="n"/>
      <c r="D260" s="43">
        <f>IF(C260="","",IFERROR(_xlfn.XLOOKUP(C260,HELPER!$A$2:$A$76,HELPER!$B$2:$B$76,""),D260))</f>
        <v/>
      </c>
      <c r="E260" s="43">
        <f>IFERROR(_xlfn.XLOOKUP(D260,HELPER!$B:$B,HELPER!$C:$C,""),"")</f>
        <v/>
      </c>
      <c r="F260" s="42">
        <f>IFERROR(_xlfn.XLOOKUP(D260,HELPER!$B:$B,HELPER!$D:$D,""),"")</f>
        <v/>
      </c>
      <c r="G260" s="42" t="n">
        <v>8</v>
      </c>
      <c r="H260" s="556" t="n"/>
      <c r="I260" s="72">
        <f>IF(AND(H260&lt;&gt;"",IFERROR(_xlfn.XLOOKUP(D260,HELPER!$B:$B,HELPER!$E:$E,""),"")=""),"Missing price",IFERROR(_xlfn.XLOOKUP(D260,HELPER!$B:$B,HELPER!$E:$E,"")," "))</f>
        <v/>
      </c>
      <c r="J260" s="72">
        <f>IFERROR(H260*(IF(G260=8,I260*HELPER!$G$2,BOM!I260*HELPER!$G$3))," ")</f>
        <v/>
      </c>
      <c r="K260" s="6" t="n"/>
      <c r="L260" s="14">
        <f t="array" ref="L260">IFERROR(_xlfn.LET(_xlpm.pairs,_xlfn._xlws.FILTER($A$2:$D$391,($A$2:$A$391&lt;&gt;"")*(TRIM($D$2:$D$391)&lt;&gt;"")),_xlpm.uniquePairs,_xlfn.UNIQUE(_xlfn.HSTACK(INDEX(_xlpm.pairs,,1),INDEX(_xlpm.pairs,,4))),_xlpm.sortedPairs,_xlfn._xlws.SORT(_xlpm.uniquePairs,1,1),IF(ROW()-1&lt;=ROWS(_xlpm.sortedPairs),INDEX(_xlpm.sortedPairs,ROW()-1,1),"")),"")</f>
        <v/>
      </c>
      <c r="M260" s="15">
        <f t="array" ref="M260">IFERROR(_xlfn.LET(_xlpm.pairs,_xlfn._xlws.FILTER($A$2:$D$391,($A$2:$A$391&lt;&gt;"")*(TRIM($D$2:$D$391)&lt;&gt;"")),_xlpm.uniquePairs,_xlfn.UNIQUE(_xlfn.HSTACK(INDEX(_xlpm.pairs,,1),INDEX(_xlpm.pairs,,4))),_xlpm.sortedPairs,_xlfn._xlws.SORT(_xlpm.uniquePairs,1,1),IF(ROW()-1&lt;=ROWS(_xlpm.sortedPairs),INDEX(_xlpm.sortedPairs,ROW()-1,2),"")),"")</f>
        <v/>
      </c>
      <c r="N260" s="15">
        <f t="array" ref="N260">IF(OR(L260="",M260=""),"",IFERROR(INDEX($E$2:$E$391,MATCH(1,($A$2:$A$391=L260)*($D$2:$D$391=M260),0)),""))</f>
        <v/>
      </c>
      <c r="O260" s="69">
        <f>IF(OR(L260="",M260=""),"",SUMIFS($J$2:$J$391,$A$2:$A$391,L260,$D$2:$D$391,M260))</f>
        <v/>
      </c>
      <c r="P260" s="6" t="n"/>
    </row>
    <row r="261">
      <c r="A261" s="44" t="inlineStr">
        <is>
          <t>PL202.3</t>
        </is>
      </c>
      <c r="B261" s="44" t="inlineStr">
        <is>
          <t xml:space="preserve">Ext. B </t>
        </is>
      </c>
      <c r="C261" s="43" t="n"/>
      <c r="D261" s="43">
        <f>IF(C261="","",IFERROR(_xlfn.XLOOKUP(C261,HELPER!$A$2:$A$76,HELPER!$B$2:$B$76,""),D261))</f>
        <v/>
      </c>
      <c r="E261" s="43">
        <f>IFERROR(_xlfn.XLOOKUP(D261,HELPER!$B:$B,HELPER!$C:$C,""),"")</f>
        <v/>
      </c>
      <c r="F261" s="42">
        <f>IFERROR(_xlfn.XLOOKUP(D261,HELPER!$B:$B,HELPER!$D:$D,""),"")</f>
        <v/>
      </c>
      <c r="G261" s="42" t="n">
        <v>8</v>
      </c>
      <c r="H261" s="556" t="n"/>
      <c r="I261" s="72">
        <f>IF(AND(H261&lt;&gt;"",IFERROR(_xlfn.XLOOKUP(D261,HELPER!$B:$B,HELPER!$E:$E,""),"")=""),"Missing price",IFERROR(_xlfn.XLOOKUP(D261,HELPER!$B:$B,HELPER!$E:$E,"")," "))</f>
        <v/>
      </c>
      <c r="J261" s="72">
        <f>IFERROR(H261*(IF(G261=8,I261*HELPER!$G$2,BOM!I261*HELPER!$G$3))," ")</f>
        <v/>
      </c>
      <c r="K261" s="6" t="n"/>
      <c r="L261" s="14">
        <f t="array" ref="L261">IFERROR(_xlfn.LET(_xlpm.pairs,_xlfn._xlws.FILTER($A$2:$D$391,($A$2:$A$391&lt;&gt;"")*(TRIM($D$2:$D$391)&lt;&gt;"")),_xlpm.uniquePairs,_xlfn.UNIQUE(_xlfn.HSTACK(INDEX(_xlpm.pairs,,1),INDEX(_xlpm.pairs,,4))),_xlpm.sortedPairs,_xlfn._xlws.SORT(_xlpm.uniquePairs,1,1),IF(ROW()-1&lt;=ROWS(_xlpm.sortedPairs),INDEX(_xlpm.sortedPairs,ROW()-1,1),"")),"")</f>
        <v/>
      </c>
      <c r="M261" s="15">
        <f t="array" ref="M261">IFERROR(_xlfn.LET(_xlpm.pairs,_xlfn._xlws.FILTER($A$2:$D$391,($A$2:$A$391&lt;&gt;"")*(TRIM($D$2:$D$391)&lt;&gt;"")),_xlpm.uniquePairs,_xlfn.UNIQUE(_xlfn.HSTACK(INDEX(_xlpm.pairs,,1),INDEX(_xlpm.pairs,,4))),_xlpm.sortedPairs,_xlfn._xlws.SORT(_xlpm.uniquePairs,1,1),IF(ROW()-1&lt;=ROWS(_xlpm.sortedPairs),INDEX(_xlpm.sortedPairs,ROW()-1,2),"")),"")</f>
        <v/>
      </c>
      <c r="N261" s="15">
        <f t="array" ref="N261">IF(OR(L261="",M261=""),"",IFERROR(INDEX($E$2:$E$391,MATCH(1,($A$2:$A$391=L261)*($D$2:$D$391=M261),0)),""))</f>
        <v/>
      </c>
      <c r="O261" s="69">
        <f>IF(OR(L261="",M261=""),"",SUMIFS($J$2:$J$391,$A$2:$A$391,L261,$D$2:$D$391,M261))</f>
        <v/>
      </c>
      <c r="P261" s="6" t="n"/>
    </row>
    <row r="262">
      <c r="A262" s="44" t="inlineStr">
        <is>
          <t>PL202.3</t>
        </is>
      </c>
      <c r="B262" s="44" t="inlineStr">
        <is>
          <t>Ext. C (In)</t>
        </is>
      </c>
      <c r="C262" s="43" t="inlineStr">
        <is>
          <t>PBAT</t>
        </is>
      </c>
      <c r="D262" s="43">
        <f>IF(C262="","",IFERROR(_xlfn.XLOOKUP(C262,HELPER!$A$2:$A$76,HELPER!$B$2:$B$76,""),D262))</f>
        <v/>
      </c>
      <c r="E262" s="43">
        <f>IFERROR(_xlfn.XLOOKUP(D262,HELPER!$B:$B,HELPER!$C:$C,""),"")</f>
        <v/>
      </c>
      <c r="F262" s="42">
        <f>IFERROR(_xlfn.XLOOKUP(D262,HELPER!$B:$B,HELPER!$D:$D,""),"")</f>
        <v/>
      </c>
      <c r="G262" s="42" t="n">
        <v>8</v>
      </c>
      <c r="H262" s="556" t="n">
        <v>0.98</v>
      </c>
      <c r="I262" s="72">
        <f>IF(AND(H262&lt;&gt;"",IFERROR(_xlfn.XLOOKUP(D262,HELPER!$B:$B,HELPER!$E:$E,""),"")=""),"Missing price",IFERROR(_xlfn.XLOOKUP(D262,HELPER!$B:$B,HELPER!$E:$E,"")," "))</f>
        <v/>
      </c>
      <c r="J262" s="72">
        <f>IFERROR(H262*(IF(G262=8,I262*HELPER!$G$2,BOM!I262*HELPER!$G$3))," ")</f>
        <v/>
      </c>
      <c r="K262" s="6" t="n"/>
      <c r="L262" s="14">
        <f t="array" ref="L262">IFERROR(_xlfn.LET(_xlpm.pairs,_xlfn._xlws.FILTER($A$2:$D$391,($A$2:$A$391&lt;&gt;"")*(TRIM($D$2:$D$391)&lt;&gt;"")),_xlpm.uniquePairs,_xlfn.UNIQUE(_xlfn.HSTACK(INDEX(_xlpm.pairs,,1),INDEX(_xlpm.pairs,,4))),_xlpm.sortedPairs,_xlfn._xlws.SORT(_xlpm.uniquePairs,1,1),IF(ROW()-1&lt;=ROWS(_xlpm.sortedPairs),INDEX(_xlpm.sortedPairs,ROW()-1,1),"")),"")</f>
        <v/>
      </c>
      <c r="M262" s="15">
        <f t="array" ref="M262">IFERROR(_xlfn.LET(_xlpm.pairs,_xlfn._xlws.FILTER($A$2:$D$391,($A$2:$A$391&lt;&gt;"")*(TRIM($D$2:$D$391)&lt;&gt;"")),_xlpm.uniquePairs,_xlfn.UNIQUE(_xlfn.HSTACK(INDEX(_xlpm.pairs,,1),INDEX(_xlpm.pairs,,4))),_xlpm.sortedPairs,_xlfn._xlws.SORT(_xlpm.uniquePairs,1,1),IF(ROW()-1&lt;=ROWS(_xlpm.sortedPairs),INDEX(_xlpm.sortedPairs,ROW()-1,2),"")),"")</f>
        <v/>
      </c>
      <c r="N262" s="15">
        <f t="array" ref="N262">IF(OR(L262="",M262=""),"",IFERROR(INDEX($E$2:$E$391,MATCH(1,($A$2:$A$391=L262)*($D$2:$D$391=M262),0)),""))</f>
        <v/>
      </c>
      <c r="O262" s="69">
        <f>IF(OR(L262="",M262=""),"",SUMIFS($J$2:$J$391,$A$2:$A$391,L262,$D$2:$D$391,M262))</f>
        <v/>
      </c>
      <c r="P262" s="6" t="n"/>
    </row>
    <row r="263">
      <c r="A263" s="44" t="inlineStr">
        <is>
          <t>PL202.3</t>
        </is>
      </c>
      <c r="B263" s="44" t="inlineStr">
        <is>
          <t>Ext. C (In)</t>
        </is>
      </c>
      <c r="C263" s="43" t="inlineStr">
        <is>
          <t>AO-PBS</t>
        </is>
      </c>
      <c r="D263" s="43">
        <f>IF(C263="","",IFERROR(_xlfn.XLOOKUP(C263,HELPER!$A$2:$A$76,HELPER!$B$2:$B$76,""),D263))</f>
        <v/>
      </c>
      <c r="E263" s="43">
        <f>IFERROR(_xlfn.XLOOKUP(D263,HELPER!$B:$B,HELPER!$C:$C,""),"")</f>
        <v/>
      </c>
      <c r="F263" s="42">
        <f>IFERROR(_xlfn.XLOOKUP(D263,HELPER!$B:$B,HELPER!$D:$D,""),"")</f>
        <v/>
      </c>
      <c r="G263" s="42" t="n">
        <v>8</v>
      </c>
      <c r="H263" s="556" t="n">
        <v>0.02</v>
      </c>
      <c r="I263" s="72">
        <f>IF(AND(H263&lt;&gt;"",IFERROR(_xlfn.XLOOKUP(D263,HELPER!$B:$B,HELPER!$E:$E,""),"")=""),"Missing price",IFERROR(_xlfn.XLOOKUP(D263,HELPER!$B:$B,HELPER!$E:$E,"")," "))</f>
        <v/>
      </c>
      <c r="J263" s="72">
        <f>IFERROR(H263*(IF(G263=8,I263*HELPER!$G$2,BOM!I263*HELPER!$G$3))," ")</f>
        <v/>
      </c>
      <c r="K263" s="6" t="n"/>
      <c r="L263" s="14">
        <f t="array" ref="L263">IFERROR(_xlfn.LET(_xlpm.pairs,_xlfn._xlws.FILTER($A$2:$D$391,($A$2:$A$391&lt;&gt;"")*(TRIM($D$2:$D$391)&lt;&gt;"")),_xlpm.uniquePairs,_xlfn.UNIQUE(_xlfn.HSTACK(INDEX(_xlpm.pairs,,1),INDEX(_xlpm.pairs,,4))),_xlpm.sortedPairs,_xlfn._xlws.SORT(_xlpm.uniquePairs,1,1),IF(ROW()-1&lt;=ROWS(_xlpm.sortedPairs),INDEX(_xlpm.sortedPairs,ROW()-1,1),"")),"")</f>
        <v/>
      </c>
      <c r="M263" s="15">
        <f t="array" ref="M263">IFERROR(_xlfn.LET(_xlpm.pairs,_xlfn._xlws.FILTER($A$2:$D$391,($A$2:$A$391&lt;&gt;"")*(TRIM($D$2:$D$391)&lt;&gt;"")),_xlpm.uniquePairs,_xlfn.UNIQUE(_xlfn.HSTACK(INDEX(_xlpm.pairs,,1),INDEX(_xlpm.pairs,,4))),_xlpm.sortedPairs,_xlfn._xlws.SORT(_xlpm.uniquePairs,1,1),IF(ROW()-1&lt;=ROWS(_xlpm.sortedPairs),INDEX(_xlpm.sortedPairs,ROW()-1,2),"")),"")</f>
        <v/>
      </c>
      <c r="N263" s="15">
        <f t="array" ref="N263">IF(OR(L263="",M263=""),"",IFERROR(INDEX($E$2:$E$391,MATCH(1,($A$2:$A$391=L263)*($D$2:$D$391=M263),0)),""))</f>
        <v/>
      </c>
      <c r="O263" s="69">
        <f>IF(OR(L263="",M263=""),"",SUMIFS($J$2:$J$391,$A$2:$A$391,L263,$D$2:$D$391,M263))</f>
        <v/>
      </c>
      <c r="P263" s="6" t="n"/>
    </row>
    <row r="264">
      <c r="A264" s="44" t="inlineStr">
        <is>
          <t>PL202.3</t>
        </is>
      </c>
      <c r="B264" s="44" t="inlineStr">
        <is>
          <t>Ext. C (In)</t>
        </is>
      </c>
      <c r="C264" s="43" t="n"/>
      <c r="D264" s="43">
        <f>IF(C264="","",IFERROR(_xlfn.XLOOKUP(C264,HELPER!$A$2:$A$76,HELPER!$B$2:$B$76,""),D264))</f>
        <v/>
      </c>
      <c r="E264" s="43">
        <f>IFERROR(_xlfn.XLOOKUP(D264,HELPER!$B:$B,HELPER!$C:$C,""),"")</f>
        <v/>
      </c>
      <c r="F264" s="42">
        <f>IFERROR(_xlfn.XLOOKUP(D264,HELPER!$B:$B,HELPER!$D:$D,""),"")</f>
        <v/>
      </c>
      <c r="G264" s="42" t="n">
        <v>8</v>
      </c>
      <c r="H264" s="556" t="n"/>
      <c r="I264" s="72">
        <f>IF(AND(H264&lt;&gt;"",IFERROR(_xlfn.XLOOKUP(D264,HELPER!$B:$B,HELPER!$E:$E,""),"")=""),"Missing price",IFERROR(_xlfn.XLOOKUP(D264,HELPER!$B:$B,HELPER!$E:$E,"")," "))</f>
        <v/>
      </c>
      <c r="J264" s="72">
        <f>IFERROR(H264*(IF(G264=8,I264*HELPER!$G$2,BOM!I264*HELPER!$G$3))," ")</f>
        <v/>
      </c>
      <c r="K264" s="6" t="n"/>
      <c r="L264" s="14">
        <f t="array" ref="L264">IFERROR(_xlfn.LET(_xlpm.pairs,_xlfn._xlws.FILTER($A$2:$D$391,($A$2:$A$391&lt;&gt;"")*(TRIM($D$2:$D$391)&lt;&gt;"")),_xlpm.uniquePairs,_xlfn.UNIQUE(_xlfn.HSTACK(INDEX(_xlpm.pairs,,1),INDEX(_xlpm.pairs,,4))),_xlpm.sortedPairs,_xlfn._xlws.SORT(_xlpm.uniquePairs,1,1),IF(ROW()-1&lt;=ROWS(_xlpm.sortedPairs),INDEX(_xlpm.sortedPairs,ROW()-1,1),"")),"")</f>
        <v/>
      </c>
      <c r="M264" s="15">
        <f t="array" ref="M264">IFERROR(_xlfn.LET(_xlpm.pairs,_xlfn._xlws.FILTER($A$2:$D$391,($A$2:$A$391&lt;&gt;"")*(TRIM($D$2:$D$391)&lt;&gt;"")),_xlpm.uniquePairs,_xlfn.UNIQUE(_xlfn.HSTACK(INDEX(_xlpm.pairs,,1),INDEX(_xlpm.pairs,,4))),_xlpm.sortedPairs,_xlfn._xlws.SORT(_xlpm.uniquePairs,1,1),IF(ROW()-1&lt;=ROWS(_xlpm.sortedPairs),INDEX(_xlpm.sortedPairs,ROW()-1,2),"")),"")</f>
        <v/>
      </c>
      <c r="N264" s="15">
        <f t="array" ref="N264">IF(OR(L264="",M264=""),"",IFERROR(INDEX($E$2:$E$391,MATCH(1,($A$2:$A$391=L264)*($D$2:$D$391=M264),0)),""))</f>
        <v/>
      </c>
      <c r="O264" s="69">
        <f>IF(OR(L264="",M264=""),"",SUMIFS($J$2:$J$391,$A$2:$A$391,L264,$D$2:$D$391,M264))</f>
        <v/>
      </c>
      <c r="P264" s="6" t="n"/>
    </row>
    <row r="265">
      <c r="A265" s="44" t="inlineStr">
        <is>
          <t>PL202.3</t>
        </is>
      </c>
      <c r="B265" s="44" t="inlineStr">
        <is>
          <t>Ext. C (In)</t>
        </is>
      </c>
      <c r="C265" s="43" t="n"/>
      <c r="D265" s="43">
        <f>IF(C265="","",IFERROR(_xlfn.XLOOKUP(C265,HELPER!$A$2:$A$76,HELPER!$B$2:$B$76,""),D265))</f>
        <v/>
      </c>
      <c r="E265" s="43">
        <f>IFERROR(_xlfn.XLOOKUP(D265,HELPER!$B:$B,HELPER!$C:$C,""),"")</f>
        <v/>
      </c>
      <c r="F265" s="42">
        <f>IFERROR(_xlfn.XLOOKUP(D265,HELPER!$B:$B,HELPER!$D:$D,""),"")</f>
        <v/>
      </c>
      <c r="G265" s="42" t="n">
        <v>8</v>
      </c>
      <c r="H265" s="556" t="n"/>
      <c r="I265" s="72">
        <f>IF(AND(H265&lt;&gt;"",IFERROR(_xlfn.XLOOKUP(D265,HELPER!$B:$B,HELPER!$E:$E,""),"")=""),"Missing price",IFERROR(_xlfn.XLOOKUP(D265,HELPER!$B:$B,HELPER!$E:$E,"")," "))</f>
        <v/>
      </c>
      <c r="J265" s="72">
        <f>IFERROR(H265*(IF(G265=8,I265*HELPER!$G$2,BOM!I265*HELPER!$G$3))," ")</f>
        <v/>
      </c>
      <c r="K265" s="6" t="n"/>
      <c r="L265" s="14">
        <f t="array" ref="L265">IFERROR(_xlfn.LET(_xlpm.pairs,_xlfn._xlws.FILTER($A$2:$D$391,($A$2:$A$391&lt;&gt;"")*(TRIM($D$2:$D$391)&lt;&gt;"")),_xlpm.uniquePairs,_xlfn.UNIQUE(_xlfn.HSTACK(INDEX(_xlpm.pairs,,1),INDEX(_xlpm.pairs,,4))),_xlpm.sortedPairs,_xlfn._xlws.SORT(_xlpm.uniquePairs,1,1),IF(ROW()-1&lt;=ROWS(_xlpm.sortedPairs),INDEX(_xlpm.sortedPairs,ROW()-1,1),"")),"")</f>
        <v/>
      </c>
      <c r="M265" s="15">
        <f t="array" ref="M265">IFERROR(_xlfn.LET(_xlpm.pairs,_xlfn._xlws.FILTER($A$2:$D$391,($A$2:$A$391&lt;&gt;"")*(TRIM($D$2:$D$391)&lt;&gt;"")),_xlpm.uniquePairs,_xlfn.UNIQUE(_xlfn.HSTACK(INDEX(_xlpm.pairs,,1),INDEX(_xlpm.pairs,,4))),_xlpm.sortedPairs,_xlfn._xlws.SORT(_xlpm.uniquePairs,1,1),IF(ROW()-1&lt;=ROWS(_xlpm.sortedPairs),INDEX(_xlpm.sortedPairs,ROW()-1,2),"")),"")</f>
        <v/>
      </c>
      <c r="N265" s="15">
        <f t="array" ref="N265">IF(OR(L265="",M265=""),"",IFERROR(INDEX($E$2:$E$391,MATCH(1,($A$2:$A$391=L265)*($D$2:$D$391=M265),0)),""))</f>
        <v/>
      </c>
      <c r="O265" s="69">
        <f>IF(OR(L265="",M265=""),"",SUMIFS($J$2:$J$391,$A$2:$A$391,L265,$D$2:$D$391,M265))</f>
        <v/>
      </c>
      <c r="P265" s="6" t="n"/>
    </row>
    <row r="266">
      <c r="A266" s="44" t="inlineStr">
        <is>
          <t>PL202.3</t>
        </is>
      </c>
      <c r="B266" s="44" t="inlineStr">
        <is>
          <t>Ext. C (In)</t>
        </is>
      </c>
      <c r="C266" s="43" t="n"/>
      <c r="D266" s="43">
        <f>IF(C266="","",IFERROR(_xlfn.XLOOKUP(C266,HELPER!$A$2:$A$76,HELPER!$B$2:$B$76,""),D266))</f>
        <v/>
      </c>
      <c r="E266" s="43">
        <f>IFERROR(_xlfn.XLOOKUP(D266,HELPER!$B:$B,HELPER!$C:$C,""),"")</f>
        <v/>
      </c>
      <c r="F266" s="42">
        <f>IFERROR(_xlfn.XLOOKUP(D266,HELPER!$B:$B,HELPER!$D:$D,""),"")</f>
        <v/>
      </c>
      <c r="G266" s="42" t="n">
        <v>8</v>
      </c>
      <c r="H266" s="556" t="n"/>
      <c r="I266" s="72">
        <f>IF(AND(H266&lt;&gt;"",IFERROR(_xlfn.XLOOKUP(D266,HELPER!$B:$B,HELPER!$E:$E,""),"")=""),"Missing price",IFERROR(_xlfn.XLOOKUP(D266,HELPER!$B:$B,HELPER!$E:$E,"")," "))</f>
        <v/>
      </c>
      <c r="J266" s="72">
        <f>IFERROR(H266*(IF(G266=8,I266*HELPER!$G$2,BOM!I266*HELPER!$G$3))," ")</f>
        <v/>
      </c>
      <c r="K266" s="6" t="n"/>
      <c r="L266" s="14">
        <f t="array" ref="L266">IFERROR(_xlfn.LET(_xlpm.pairs,_xlfn._xlws.FILTER($A$2:$D$391,($A$2:$A$391&lt;&gt;"")*(TRIM($D$2:$D$391)&lt;&gt;"")),_xlpm.uniquePairs,_xlfn.UNIQUE(_xlfn.HSTACK(INDEX(_xlpm.pairs,,1),INDEX(_xlpm.pairs,,4))),_xlpm.sortedPairs,_xlfn._xlws.SORT(_xlpm.uniquePairs,1,1),IF(ROW()-1&lt;=ROWS(_xlpm.sortedPairs),INDEX(_xlpm.sortedPairs,ROW()-1,1),"")),"")</f>
        <v/>
      </c>
      <c r="M266" s="15">
        <f t="array" ref="M266">IFERROR(_xlfn.LET(_xlpm.pairs,_xlfn._xlws.FILTER($A$2:$D$391,($A$2:$A$391&lt;&gt;"")*(TRIM($D$2:$D$391)&lt;&gt;"")),_xlpm.uniquePairs,_xlfn.UNIQUE(_xlfn.HSTACK(INDEX(_xlpm.pairs,,1),INDEX(_xlpm.pairs,,4))),_xlpm.sortedPairs,_xlfn._xlws.SORT(_xlpm.uniquePairs,1,1),IF(ROW()-1&lt;=ROWS(_xlpm.sortedPairs),INDEX(_xlpm.sortedPairs,ROW()-1,2),"")),"")</f>
        <v/>
      </c>
      <c r="N266" s="15">
        <f t="array" ref="N266">IF(OR(L266="",M266=""),"",IFERROR(INDEX($E$2:$E$391,MATCH(1,($A$2:$A$391=L266)*($D$2:$D$391=M266),0)),""))</f>
        <v/>
      </c>
      <c r="O266" s="69">
        <f>IF(OR(L266="",M266=""),"",SUMIFS($J$2:$J$391,$A$2:$A$391,L266,$D$2:$D$391,M266))</f>
        <v/>
      </c>
      <c r="P266" s="6" t="n"/>
    </row>
    <row r="267">
      <c r="A267" s="44" t="inlineStr">
        <is>
          <t>PL202.3</t>
        </is>
      </c>
      <c r="B267" s="44" t="inlineStr">
        <is>
          <t>Ext. C (In)</t>
        </is>
      </c>
      <c r="C267" s="43" t="n"/>
      <c r="D267" s="43">
        <f>IF(C267="","",IFERROR(_xlfn.XLOOKUP(C267,HELPER!$A$2:$A$76,HELPER!$B$2:$B$76,""),D267))</f>
        <v/>
      </c>
      <c r="E267" s="43">
        <f>IFERROR(_xlfn.XLOOKUP(D267,HELPER!$B:$B,HELPER!$C:$C,""),"")</f>
        <v/>
      </c>
      <c r="F267" s="42">
        <f>IFERROR(_xlfn.XLOOKUP(D267,HELPER!$B:$B,HELPER!$D:$D,""),"")</f>
        <v/>
      </c>
      <c r="G267" s="42" t="n">
        <v>8</v>
      </c>
      <c r="H267" s="556" t="n"/>
      <c r="I267" s="72">
        <f>IF(AND(H267&lt;&gt;"",IFERROR(_xlfn.XLOOKUP(D267,HELPER!$B:$B,HELPER!$E:$E,""),"")=""),"Missing price",IFERROR(_xlfn.XLOOKUP(D267,HELPER!$B:$B,HELPER!$E:$E,"")," "))</f>
        <v/>
      </c>
      <c r="J267" s="72">
        <f>IFERROR(H267*(IF(G267=8,I267*HELPER!$G$2,BOM!I267*HELPER!$G$3))," ")</f>
        <v/>
      </c>
      <c r="K267" s="6" t="n"/>
      <c r="L267" s="14">
        <f t="array" ref="L267">IFERROR(_xlfn.LET(_xlpm.pairs,_xlfn._xlws.FILTER($A$2:$D$391,($A$2:$A$391&lt;&gt;"")*(TRIM($D$2:$D$391)&lt;&gt;"")),_xlpm.uniquePairs,_xlfn.UNIQUE(_xlfn.HSTACK(INDEX(_xlpm.pairs,,1),INDEX(_xlpm.pairs,,4))),_xlpm.sortedPairs,_xlfn._xlws.SORT(_xlpm.uniquePairs,1,1),IF(ROW()-1&lt;=ROWS(_xlpm.sortedPairs),INDEX(_xlpm.sortedPairs,ROW()-1,1),"")),"")</f>
        <v/>
      </c>
      <c r="M267" s="15">
        <f t="array" ref="M267">IFERROR(_xlfn.LET(_xlpm.pairs,_xlfn._xlws.FILTER($A$2:$D$391,($A$2:$A$391&lt;&gt;"")*(TRIM($D$2:$D$391)&lt;&gt;"")),_xlpm.uniquePairs,_xlfn.UNIQUE(_xlfn.HSTACK(INDEX(_xlpm.pairs,,1),INDEX(_xlpm.pairs,,4))),_xlpm.sortedPairs,_xlfn._xlws.SORT(_xlpm.uniquePairs,1,1),IF(ROW()-1&lt;=ROWS(_xlpm.sortedPairs),INDEX(_xlpm.sortedPairs,ROW()-1,2),"")),"")</f>
        <v/>
      </c>
      <c r="N267" s="15">
        <f t="array" ref="N267">IF(OR(L267="",M267=""),"",IFERROR(INDEX($E$2:$E$391,MATCH(1,($A$2:$A$391=L267)*($D$2:$D$391=M267),0)),""))</f>
        <v/>
      </c>
      <c r="O267" s="69">
        <f>IF(OR(L267="",M267=""),"",SUMIFS($J$2:$J$391,$A$2:$A$391,L267,$D$2:$D$391,M267))</f>
        <v/>
      </c>
      <c r="P267" s="6" t="n"/>
    </row>
    <row r="268">
      <c r="A268" s="44" t="inlineStr">
        <is>
          <t>PL202.3</t>
        </is>
      </c>
      <c r="B268" s="44" t="inlineStr">
        <is>
          <t>Ext. C (In)</t>
        </is>
      </c>
      <c r="C268" s="43" t="n"/>
      <c r="D268" s="43">
        <f>IF(C268="","",IFERROR(_xlfn.XLOOKUP(C268,HELPER!$A$2:$A$76,HELPER!$B$2:$B$76,""),D268))</f>
        <v/>
      </c>
      <c r="E268" s="43">
        <f>IFERROR(_xlfn.XLOOKUP(D268,HELPER!$B:$B,HELPER!$C:$C,""),"")</f>
        <v/>
      </c>
      <c r="F268" s="42">
        <f>IFERROR(_xlfn.XLOOKUP(D268,HELPER!$B:$B,HELPER!$D:$D,""),"")</f>
        <v/>
      </c>
      <c r="G268" s="42" t="n">
        <v>8</v>
      </c>
      <c r="H268" s="556" t="n"/>
      <c r="I268" s="72">
        <f>IF(AND(H268&lt;&gt;"",IFERROR(_xlfn.XLOOKUP(D268,HELPER!$B:$B,HELPER!$E:$E,""),"")=""),"Missing price",IFERROR(_xlfn.XLOOKUP(D268,HELPER!$B:$B,HELPER!$E:$E,"")," "))</f>
        <v/>
      </c>
      <c r="J268" s="72">
        <f>IFERROR(H268*(IF(G268=8,I268*HELPER!$G$2,BOM!I268*HELPER!$G$3))," ")</f>
        <v/>
      </c>
      <c r="K268" s="6" t="n"/>
      <c r="L268" s="14">
        <f t="array" ref="L268">IFERROR(_xlfn.LET(_xlpm.pairs,_xlfn._xlws.FILTER($A$2:$D$391,($A$2:$A$391&lt;&gt;"")*(TRIM($D$2:$D$391)&lt;&gt;"")),_xlpm.uniquePairs,_xlfn.UNIQUE(_xlfn.HSTACK(INDEX(_xlpm.pairs,,1),INDEX(_xlpm.pairs,,4))),_xlpm.sortedPairs,_xlfn._xlws.SORT(_xlpm.uniquePairs,1,1),IF(ROW()-1&lt;=ROWS(_xlpm.sortedPairs),INDEX(_xlpm.sortedPairs,ROW()-1,1),"")),"")</f>
        <v/>
      </c>
      <c r="M268" s="15">
        <f t="array" ref="M268">IFERROR(_xlfn.LET(_xlpm.pairs,_xlfn._xlws.FILTER($A$2:$D$391,($A$2:$A$391&lt;&gt;"")*(TRIM($D$2:$D$391)&lt;&gt;"")),_xlpm.uniquePairs,_xlfn.UNIQUE(_xlfn.HSTACK(INDEX(_xlpm.pairs,,1),INDEX(_xlpm.pairs,,4))),_xlpm.sortedPairs,_xlfn._xlws.SORT(_xlpm.uniquePairs,1,1),IF(ROW()-1&lt;=ROWS(_xlpm.sortedPairs),INDEX(_xlpm.sortedPairs,ROW()-1,2),"")),"")</f>
        <v/>
      </c>
      <c r="N268" s="15">
        <f t="array" ref="N268">IF(OR(L268="",M268=""),"",IFERROR(INDEX($E$2:$E$391,MATCH(1,($A$2:$A$391=L268)*($D$2:$D$391=M268),0)),""))</f>
        <v/>
      </c>
      <c r="O268" s="69">
        <f>IF(OR(L268="",M268=""),"",SUMIFS($J$2:$J$391,$A$2:$A$391,L268,$D$2:$D$391,M268))</f>
        <v/>
      </c>
      <c r="P268" s="6" t="n"/>
    </row>
    <row r="269">
      <c r="A269" s="44" t="inlineStr">
        <is>
          <t>PL202.3</t>
        </is>
      </c>
      <c r="B269" s="44" t="inlineStr">
        <is>
          <t>Ext. C (In)</t>
        </is>
      </c>
      <c r="C269" s="43" t="n"/>
      <c r="D269" s="43">
        <f>IF(C269="","",IFERROR(_xlfn.XLOOKUP(C269,HELPER!$A$2:$A$76,HELPER!$B$2:$B$76,""),D269))</f>
        <v/>
      </c>
      <c r="E269" s="43">
        <f>IFERROR(_xlfn.XLOOKUP(D269,HELPER!$B:$B,HELPER!$C:$C,""),"")</f>
        <v/>
      </c>
      <c r="F269" s="42">
        <f>IFERROR(_xlfn.XLOOKUP(D269,HELPER!$B:$B,HELPER!$D:$D,""),"")</f>
        <v/>
      </c>
      <c r="G269" s="42" t="n">
        <v>8</v>
      </c>
      <c r="H269" s="556" t="n"/>
      <c r="I269" s="72">
        <f>IF(AND(H269&lt;&gt;"",IFERROR(_xlfn.XLOOKUP(D269,HELPER!$B:$B,HELPER!$E:$E,""),"")=""),"Missing price",IFERROR(_xlfn.XLOOKUP(D269,HELPER!$B:$B,HELPER!$E:$E,"")," "))</f>
        <v/>
      </c>
      <c r="J269" s="72">
        <f>IFERROR(H269*(IF(G269=8,I269*HELPER!$G$2,BOM!I269*HELPER!$G$3))," ")</f>
        <v/>
      </c>
      <c r="K269" s="6" t="n"/>
      <c r="L269" s="14">
        <f t="array" ref="L269">IFERROR(_xlfn.LET(_xlpm.pairs,_xlfn._xlws.FILTER($A$2:$D$391,($A$2:$A$391&lt;&gt;"")*(TRIM($D$2:$D$391)&lt;&gt;"")),_xlpm.uniquePairs,_xlfn.UNIQUE(_xlfn.HSTACK(INDEX(_xlpm.pairs,,1),INDEX(_xlpm.pairs,,4))),_xlpm.sortedPairs,_xlfn._xlws.SORT(_xlpm.uniquePairs,1,1),IF(ROW()-1&lt;=ROWS(_xlpm.sortedPairs),INDEX(_xlpm.sortedPairs,ROW()-1,1),"")),"")</f>
        <v/>
      </c>
      <c r="M269" s="15">
        <f t="array" ref="M269">IFERROR(_xlfn.LET(_xlpm.pairs,_xlfn._xlws.FILTER($A$2:$D$391,($A$2:$A$391&lt;&gt;"")*(TRIM($D$2:$D$391)&lt;&gt;"")),_xlpm.uniquePairs,_xlfn.UNIQUE(_xlfn.HSTACK(INDEX(_xlpm.pairs,,1),INDEX(_xlpm.pairs,,4))),_xlpm.sortedPairs,_xlfn._xlws.SORT(_xlpm.uniquePairs,1,1),IF(ROW()-1&lt;=ROWS(_xlpm.sortedPairs),INDEX(_xlpm.sortedPairs,ROW()-1,2),"")),"")</f>
        <v/>
      </c>
      <c r="N269" s="15">
        <f t="array" ref="N269">IF(OR(L269="",M269=""),"",IFERROR(INDEX($E$2:$E$391,MATCH(1,($A$2:$A$391=L269)*($D$2:$D$391=M269),0)),""))</f>
        <v/>
      </c>
      <c r="O269" s="69">
        <f>IF(OR(L269="",M269=""),"",SUMIFS($J$2:$J$391,$A$2:$A$391,L269,$D$2:$D$391,M269))</f>
        <v/>
      </c>
      <c r="P269" s="6" t="n"/>
    </row>
    <row r="270">
      <c r="A270" s="44" t="inlineStr">
        <is>
          <t>PL202.3</t>
        </is>
      </c>
      <c r="B270" s="44" t="inlineStr">
        <is>
          <t>Ext. C (In)</t>
        </is>
      </c>
      <c r="C270" s="43" t="n"/>
      <c r="D270" s="43">
        <f>IF(C270="","",IFERROR(_xlfn.XLOOKUP(C270,HELPER!$A$2:$A$76,HELPER!$B$2:$B$76,""),D270))</f>
        <v/>
      </c>
      <c r="E270" s="43">
        <f>IFERROR(_xlfn.XLOOKUP(D270,HELPER!$B:$B,HELPER!$C:$C,""),"")</f>
        <v/>
      </c>
      <c r="F270" s="42">
        <f>IFERROR(_xlfn.XLOOKUP(D270,HELPER!$B:$B,HELPER!$D:$D,""),"")</f>
        <v/>
      </c>
      <c r="G270" s="42" t="n">
        <v>8</v>
      </c>
      <c r="H270" s="556" t="n"/>
      <c r="I270" s="72">
        <f>IF(AND(H270&lt;&gt;"",IFERROR(_xlfn.XLOOKUP(D270,HELPER!$B:$B,HELPER!$E:$E,""),"")=""),"Missing price",IFERROR(_xlfn.XLOOKUP(D270,HELPER!$B:$B,HELPER!$E:$E,"")," "))</f>
        <v/>
      </c>
      <c r="J270" s="72">
        <f>IFERROR(H270*(IF(G270=8,I270*HELPER!$G$2,BOM!I270*HELPER!$G$3))," ")</f>
        <v/>
      </c>
      <c r="K270" s="6" t="n"/>
      <c r="L270" s="14">
        <f t="array" ref="L270">IFERROR(_xlfn.LET(_xlpm.pairs,_xlfn._xlws.FILTER($A$2:$D$391,($A$2:$A$391&lt;&gt;"")*(TRIM($D$2:$D$391)&lt;&gt;"")),_xlpm.uniquePairs,_xlfn.UNIQUE(_xlfn.HSTACK(INDEX(_xlpm.pairs,,1),INDEX(_xlpm.pairs,,4))),_xlpm.sortedPairs,_xlfn._xlws.SORT(_xlpm.uniquePairs,1,1),IF(ROW()-1&lt;=ROWS(_xlpm.sortedPairs),INDEX(_xlpm.sortedPairs,ROW()-1,1),"")),"")</f>
        <v/>
      </c>
      <c r="M270" s="15">
        <f t="array" ref="M270">IFERROR(_xlfn.LET(_xlpm.pairs,_xlfn._xlws.FILTER($A$2:$D$391,($A$2:$A$391&lt;&gt;"")*(TRIM($D$2:$D$391)&lt;&gt;"")),_xlpm.uniquePairs,_xlfn.UNIQUE(_xlfn.HSTACK(INDEX(_xlpm.pairs,,1),INDEX(_xlpm.pairs,,4))),_xlpm.sortedPairs,_xlfn._xlws.SORT(_xlpm.uniquePairs,1,1),IF(ROW()-1&lt;=ROWS(_xlpm.sortedPairs),INDEX(_xlpm.sortedPairs,ROW()-1,2),"")),"")</f>
        <v/>
      </c>
      <c r="N270" s="15">
        <f t="array" ref="N270">IF(OR(L270="",M270=""),"",IFERROR(INDEX($E$2:$E$391,MATCH(1,($A$2:$A$391=L270)*($D$2:$D$391=M270),0)),""))</f>
        <v/>
      </c>
      <c r="O270" s="69">
        <f>IF(OR(L270="",M270=""),"",SUMIFS($J$2:$J$391,$A$2:$A$391,L270,$D$2:$D$391,M270))</f>
        <v/>
      </c>
      <c r="P270" s="6" t="n"/>
    </row>
    <row r="271">
      <c r="A271" s="44" t="inlineStr">
        <is>
          <t>PL202.3</t>
        </is>
      </c>
      <c r="B271" s="44" t="inlineStr">
        <is>
          <t>Ext. C (In)</t>
        </is>
      </c>
      <c r="C271" s="43" t="n"/>
      <c r="D271" s="43">
        <f>IF(C271="","",IFERROR(_xlfn.XLOOKUP(C271,HELPER!$A$2:$A$76,HELPER!$B$2:$B$76,""),D271))</f>
        <v/>
      </c>
      <c r="E271" s="43">
        <f>IFERROR(_xlfn.XLOOKUP(D271,HELPER!$B:$B,HELPER!$C:$C,""),"")</f>
        <v/>
      </c>
      <c r="F271" s="42">
        <f>IFERROR(_xlfn.XLOOKUP(D271,HELPER!$B:$B,HELPER!$D:$D,""),"")</f>
        <v/>
      </c>
      <c r="G271" s="42" t="n">
        <v>8</v>
      </c>
      <c r="H271" s="556" t="n"/>
      <c r="I271" s="72">
        <f>IF(AND(H271&lt;&gt;"",IFERROR(_xlfn.XLOOKUP(D271,HELPER!$B:$B,HELPER!$E:$E,""),"")=""),"Missing price",IFERROR(_xlfn.XLOOKUP(D271,HELPER!$B:$B,HELPER!$E:$E,"")," "))</f>
        <v/>
      </c>
      <c r="J271" s="72">
        <f>IFERROR(H271*(IF(G271=8,I271*HELPER!$G$2,BOM!I271*HELPER!$G$3))," ")</f>
        <v/>
      </c>
      <c r="K271" s="6" t="n"/>
      <c r="L271" s="14">
        <f t="array" ref="L271">IFERROR(_xlfn.LET(_xlpm.pairs,_xlfn._xlws.FILTER($A$2:$D$391,($A$2:$A$391&lt;&gt;"")*(TRIM($D$2:$D$391)&lt;&gt;"")),_xlpm.uniquePairs,_xlfn.UNIQUE(_xlfn.HSTACK(INDEX(_xlpm.pairs,,1),INDEX(_xlpm.pairs,,4))),_xlpm.sortedPairs,_xlfn._xlws.SORT(_xlpm.uniquePairs,1,1),IF(ROW()-1&lt;=ROWS(_xlpm.sortedPairs),INDEX(_xlpm.sortedPairs,ROW()-1,1),"")),"")</f>
        <v/>
      </c>
      <c r="M271" s="15">
        <f t="array" ref="M271">IFERROR(_xlfn.LET(_xlpm.pairs,_xlfn._xlws.FILTER($A$2:$D$391,($A$2:$A$391&lt;&gt;"")*(TRIM($D$2:$D$391)&lt;&gt;"")),_xlpm.uniquePairs,_xlfn.UNIQUE(_xlfn.HSTACK(INDEX(_xlpm.pairs,,1),INDEX(_xlpm.pairs,,4))),_xlpm.sortedPairs,_xlfn._xlws.SORT(_xlpm.uniquePairs,1,1),IF(ROW()-1&lt;=ROWS(_xlpm.sortedPairs),INDEX(_xlpm.sortedPairs,ROW()-1,2),"")),"")</f>
        <v/>
      </c>
      <c r="N271" s="15">
        <f t="array" ref="N271">IF(OR(L271="",M271=""),"",IFERROR(INDEX($E$2:$E$391,MATCH(1,($A$2:$A$391=L271)*($D$2:$D$391=M271),0)),""))</f>
        <v/>
      </c>
      <c r="O271" s="69">
        <f>IF(OR(L271="",M271=""),"",SUMIFS($J$2:$J$391,$A$2:$A$391,L271,$D$2:$D$391,M271))</f>
        <v/>
      </c>
      <c r="P271" s="6" t="n"/>
    </row>
    <row r="272">
      <c r="A272" s="73" t="n"/>
      <c r="B272" s="44" t="inlineStr">
        <is>
          <t>Ext. A (Out - Chillroll)</t>
        </is>
      </c>
      <c r="C272" s="43" t="n"/>
      <c r="D272" s="43">
        <f>IF(C272="","",IFERROR(_xlfn.XLOOKUP(C272,HELPER!$A$2:$A$76,HELPER!$B$2:$B$76,""),D272))</f>
        <v/>
      </c>
      <c r="E272" s="43">
        <f>IFERROR(_xlfn.XLOOKUP(D272,HELPER!$B:$B,HELPER!$C:$C,""),"")</f>
        <v/>
      </c>
      <c r="F272" s="42">
        <f>IFERROR(_xlfn.XLOOKUP(D272,HELPER!$B:$B,HELPER!$D:$D,""),"")</f>
        <v/>
      </c>
      <c r="G272" s="42" t="n">
        <v>8</v>
      </c>
      <c r="H272" s="556" t="n"/>
      <c r="I272" s="72">
        <f>IF(AND(H272&lt;&gt;"",IFERROR(_xlfn.XLOOKUP(D272,HELPER!$B:$B,HELPER!$E:$E,""),"")=""),"Missing price",IFERROR(_xlfn.XLOOKUP(D272,HELPER!$B:$B,HELPER!$E:$E,"")," "))</f>
        <v/>
      </c>
      <c r="J272" s="72">
        <f>IFERROR(H272*(IF(G272=8,I272*HELPER!$G$2,BOM!I272*HELPER!$G$3))," ")</f>
        <v/>
      </c>
      <c r="K272" s="6" t="n"/>
      <c r="L272" s="14">
        <f t="array" ref="L272">IFERROR(_xlfn.LET(_xlpm.pairs,_xlfn._xlws.FILTER($A$2:$D$391,($A$2:$A$391&lt;&gt;"")*(TRIM($D$2:$D$391)&lt;&gt;"")),_xlpm.uniquePairs,_xlfn.UNIQUE(_xlfn.HSTACK(INDEX(_xlpm.pairs,,1),INDEX(_xlpm.pairs,,4))),_xlpm.sortedPairs,_xlfn._xlws.SORT(_xlpm.uniquePairs,1,1),IF(ROW()-1&lt;=ROWS(_xlpm.sortedPairs),INDEX(_xlpm.sortedPairs,ROW()-1,1),"")),"")</f>
        <v/>
      </c>
      <c r="M272" s="15">
        <f t="array" ref="M272">IFERROR(_xlfn.LET(_xlpm.pairs,_xlfn._xlws.FILTER($A$2:$D$391,($A$2:$A$391&lt;&gt;"")*(TRIM($D$2:$D$391)&lt;&gt;"")),_xlpm.uniquePairs,_xlfn.UNIQUE(_xlfn.HSTACK(INDEX(_xlpm.pairs,,1),INDEX(_xlpm.pairs,,4))),_xlpm.sortedPairs,_xlfn._xlws.SORT(_xlpm.uniquePairs,1,1),IF(ROW()-1&lt;=ROWS(_xlpm.sortedPairs),INDEX(_xlpm.sortedPairs,ROW()-1,2),"")),"")</f>
        <v/>
      </c>
      <c r="N272" s="15">
        <f t="array" ref="N272">IF(OR(L272="",M272=""),"",IFERROR(INDEX($E$2:$E$391,MATCH(1,($A$2:$A$391=L272)*($D$2:$D$391=M272),0)),""))</f>
        <v/>
      </c>
      <c r="O272" s="69">
        <f>IF(OR(L272="",M272=""),"",SUMIFS($J$2:$J$391,$A$2:$A$391,L272,$D$2:$D$391,M272))</f>
        <v/>
      </c>
      <c r="P272" s="6" t="n"/>
    </row>
    <row r="273">
      <c r="A273" s="44" t="n"/>
      <c r="B273" s="44" t="inlineStr">
        <is>
          <t>Ext. A (Out - Chillroll)</t>
        </is>
      </c>
      <c r="C273" s="43" t="n"/>
      <c r="D273" s="43">
        <f>IF(C273="","",IFERROR(_xlfn.XLOOKUP(C273,HELPER!$A$2:$A$76,HELPER!$B$2:$B$76,""),D273))</f>
        <v/>
      </c>
      <c r="E273" s="43">
        <f>IFERROR(_xlfn.XLOOKUP(D273,HELPER!$B:$B,HELPER!$C:$C,""),"")</f>
        <v/>
      </c>
      <c r="F273" s="42">
        <f>IFERROR(_xlfn.XLOOKUP(D273,HELPER!$B:$B,HELPER!$D:$D,""),"")</f>
        <v/>
      </c>
      <c r="G273" s="42" t="n">
        <v>8</v>
      </c>
      <c r="H273" s="556" t="n"/>
      <c r="I273" s="72">
        <f>IF(AND(H273&lt;&gt;"",IFERROR(_xlfn.XLOOKUP(D273,HELPER!$B:$B,HELPER!$E:$E,""),"")=""),"Missing price",IFERROR(_xlfn.XLOOKUP(D273,HELPER!$B:$B,HELPER!$E:$E,"")," "))</f>
        <v/>
      </c>
      <c r="J273" s="72">
        <f>IFERROR(H273*(IF(G273=8,I273*HELPER!$G$2,BOM!I273*HELPER!$G$3))," ")</f>
        <v/>
      </c>
      <c r="K273" s="6" t="n"/>
      <c r="L273" s="14">
        <f t="array" ref="L273">IFERROR(_xlfn.LET(_xlpm.pairs,_xlfn._xlws.FILTER($A$2:$D$391,($A$2:$A$391&lt;&gt;"")*(TRIM($D$2:$D$391)&lt;&gt;"")),_xlpm.uniquePairs,_xlfn.UNIQUE(_xlfn.HSTACK(INDEX(_xlpm.pairs,,1),INDEX(_xlpm.pairs,,4))),_xlpm.sortedPairs,_xlfn._xlws.SORT(_xlpm.uniquePairs,1,1),IF(ROW()-1&lt;=ROWS(_xlpm.sortedPairs),INDEX(_xlpm.sortedPairs,ROW()-1,1),"")),"")</f>
        <v/>
      </c>
      <c r="M273" s="15">
        <f t="array" ref="M273">IFERROR(_xlfn.LET(_xlpm.pairs,_xlfn._xlws.FILTER($A$2:$D$391,($A$2:$A$391&lt;&gt;"")*(TRIM($D$2:$D$391)&lt;&gt;"")),_xlpm.uniquePairs,_xlfn.UNIQUE(_xlfn.HSTACK(INDEX(_xlpm.pairs,,1),INDEX(_xlpm.pairs,,4))),_xlpm.sortedPairs,_xlfn._xlws.SORT(_xlpm.uniquePairs,1,1),IF(ROW()-1&lt;=ROWS(_xlpm.sortedPairs),INDEX(_xlpm.sortedPairs,ROW()-1,2),"")),"")</f>
        <v/>
      </c>
      <c r="N273" s="15">
        <f t="array" ref="N273">IF(OR(L273="",M273=""),"",IFERROR(INDEX($E$2:$E$391,MATCH(1,($A$2:$A$391=L273)*($D$2:$D$391=M273),0)),""))</f>
        <v/>
      </c>
      <c r="O273" s="69">
        <f>IF(OR(L273="",M273=""),"",SUMIFS($J$2:$J$391,$A$2:$A$391,L273,$D$2:$D$391,M273))</f>
        <v/>
      </c>
      <c r="P273" s="6" t="n"/>
    </row>
    <row r="274">
      <c r="A274" s="73" t="n"/>
      <c r="B274" s="44" t="inlineStr">
        <is>
          <t>Ext. A (Out - Chillroll)</t>
        </is>
      </c>
      <c r="C274" s="43" t="n"/>
      <c r="D274" s="43">
        <f>IF(C274="","",IFERROR(_xlfn.XLOOKUP(C274,HELPER!$A$2:$A$76,HELPER!$B$2:$B$76,""),D274))</f>
        <v/>
      </c>
      <c r="E274" s="43">
        <f>IFERROR(_xlfn.XLOOKUP(D274,HELPER!$B:$B,HELPER!$C:$C,""),"")</f>
        <v/>
      </c>
      <c r="F274" s="42">
        <f>IFERROR(_xlfn.XLOOKUP(D274,HELPER!$B:$B,HELPER!$D:$D,""),"")</f>
        <v/>
      </c>
      <c r="G274" s="42" t="n">
        <v>8</v>
      </c>
      <c r="H274" s="556" t="n"/>
      <c r="I274" s="72">
        <f>IF(AND(H274&lt;&gt;"",IFERROR(_xlfn.XLOOKUP(D274,HELPER!$B:$B,HELPER!$E:$E,""),"")=""),"Missing price",IFERROR(_xlfn.XLOOKUP(D274,HELPER!$B:$B,HELPER!$E:$E,"")," "))</f>
        <v/>
      </c>
      <c r="J274" s="72">
        <f>IFERROR(H274*(IF(G274=8,I274*HELPER!$G$2,BOM!I274*HELPER!$G$3))," ")</f>
        <v/>
      </c>
      <c r="K274" s="6" t="n"/>
      <c r="L274" s="14">
        <f t="array" ref="L274">IFERROR(_xlfn.LET(_xlpm.pairs,_xlfn._xlws.FILTER($A$2:$D$391,($A$2:$A$391&lt;&gt;"")*(TRIM($D$2:$D$391)&lt;&gt;"")),_xlpm.uniquePairs,_xlfn.UNIQUE(_xlfn.HSTACK(INDEX(_xlpm.pairs,,1),INDEX(_xlpm.pairs,,4))),_xlpm.sortedPairs,_xlfn._xlws.SORT(_xlpm.uniquePairs,1,1),IF(ROW()-1&lt;=ROWS(_xlpm.sortedPairs),INDEX(_xlpm.sortedPairs,ROW()-1,1),"")),"")</f>
        <v/>
      </c>
      <c r="M274" s="15">
        <f t="array" ref="M274">IFERROR(_xlfn.LET(_xlpm.pairs,_xlfn._xlws.FILTER($A$2:$D$391,($A$2:$A$391&lt;&gt;"")*(TRIM($D$2:$D$391)&lt;&gt;"")),_xlpm.uniquePairs,_xlfn.UNIQUE(_xlfn.HSTACK(INDEX(_xlpm.pairs,,1),INDEX(_xlpm.pairs,,4))),_xlpm.sortedPairs,_xlfn._xlws.SORT(_xlpm.uniquePairs,1,1),IF(ROW()-1&lt;=ROWS(_xlpm.sortedPairs),INDEX(_xlpm.sortedPairs,ROW()-1,2),"")),"")</f>
        <v/>
      </c>
      <c r="N274" s="15">
        <f t="array" ref="N274">IF(OR(L274="",M274=""),"",IFERROR(INDEX($E$2:$E$391,MATCH(1,($A$2:$A$391=L274)*($D$2:$D$391=M274),0)),""))</f>
        <v/>
      </c>
      <c r="O274" s="69">
        <f>IF(OR(L274="",M274=""),"",SUMIFS($J$2:$J$391,$A$2:$A$391,L274,$D$2:$D$391,M274))</f>
        <v/>
      </c>
      <c r="P274" s="6" t="n"/>
    </row>
    <row r="275">
      <c r="A275" s="73" t="n"/>
      <c r="B275" s="44" t="inlineStr">
        <is>
          <t>Ext. A (Out - Chillroll)</t>
        </is>
      </c>
      <c r="C275" s="43" t="n"/>
      <c r="D275" s="43">
        <f>IF(C275="","",IFERROR(_xlfn.XLOOKUP(C275,HELPER!$A$2:$A$76,HELPER!$B$2:$B$76,""),D275))</f>
        <v/>
      </c>
      <c r="E275" s="43">
        <f>IFERROR(_xlfn.XLOOKUP(D275,HELPER!$B:$B,HELPER!$C:$C,""),"")</f>
        <v/>
      </c>
      <c r="F275" s="42">
        <f>IFERROR(_xlfn.XLOOKUP(D275,HELPER!$B:$B,HELPER!$D:$D,""),"")</f>
        <v/>
      </c>
      <c r="G275" s="42" t="n">
        <v>8</v>
      </c>
      <c r="H275" s="556" t="n"/>
      <c r="I275" s="72">
        <f>IF(AND(H275&lt;&gt;"",IFERROR(_xlfn.XLOOKUP(D275,HELPER!$B:$B,HELPER!$E:$E,""),"")=""),"Missing price",IFERROR(_xlfn.XLOOKUP(D275,HELPER!$B:$B,HELPER!$E:$E,"")," "))</f>
        <v/>
      </c>
      <c r="J275" s="72">
        <f>IFERROR(H275*(IF(G275=8,I275*HELPER!$G$2,BOM!I275*HELPER!$G$3))," ")</f>
        <v/>
      </c>
      <c r="K275" s="6" t="n"/>
      <c r="L275" s="14">
        <f t="array" ref="L275">IFERROR(_xlfn.LET(_xlpm.pairs,_xlfn._xlws.FILTER($A$2:$D$391,($A$2:$A$391&lt;&gt;"")*(TRIM($D$2:$D$391)&lt;&gt;"")),_xlpm.uniquePairs,_xlfn.UNIQUE(_xlfn.HSTACK(INDEX(_xlpm.pairs,,1),INDEX(_xlpm.pairs,,4))),_xlpm.sortedPairs,_xlfn._xlws.SORT(_xlpm.uniquePairs,1,1),IF(ROW()-1&lt;=ROWS(_xlpm.sortedPairs),INDEX(_xlpm.sortedPairs,ROW()-1,1),"")),"")</f>
        <v/>
      </c>
      <c r="M275" s="15">
        <f t="array" ref="M275">IFERROR(_xlfn.LET(_xlpm.pairs,_xlfn._xlws.FILTER($A$2:$D$391,($A$2:$A$391&lt;&gt;"")*(TRIM($D$2:$D$391)&lt;&gt;"")),_xlpm.uniquePairs,_xlfn.UNIQUE(_xlfn.HSTACK(INDEX(_xlpm.pairs,,1),INDEX(_xlpm.pairs,,4))),_xlpm.sortedPairs,_xlfn._xlws.SORT(_xlpm.uniquePairs,1,1),IF(ROW()-1&lt;=ROWS(_xlpm.sortedPairs),INDEX(_xlpm.sortedPairs,ROW()-1,2),"")),"")</f>
        <v/>
      </c>
      <c r="N275" s="15">
        <f t="array" ref="N275">IF(OR(L275="",M275=""),"",IFERROR(INDEX($E$2:$E$391,MATCH(1,($A$2:$A$391=L275)*($D$2:$D$391=M275),0)),""))</f>
        <v/>
      </c>
      <c r="O275" s="69">
        <f>IF(OR(L275="",M275=""),"",SUMIFS($J$2:$J$391,$A$2:$A$391,L275,$D$2:$D$391,M275))</f>
        <v/>
      </c>
      <c r="P275" s="6" t="n"/>
    </row>
    <row r="276">
      <c r="A276" s="73" t="n"/>
      <c r="B276" s="44" t="inlineStr">
        <is>
          <t>Ext. A (Out - Chillroll)</t>
        </is>
      </c>
      <c r="C276" s="43" t="n"/>
      <c r="D276" s="43">
        <f>IF(C276="","",IFERROR(_xlfn.XLOOKUP(C276,HELPER!$A$2:$A$76,HELPER!$B$2:$B$76,""),D276))</f>
        <v/>
      </c>
      <c r="E276" s="43">
        <f>IFERROR(_xlfn.XLOOKUP(D276,HELPER!$B:$B,HELPER!$C:$C,""),"")</f>
        <v/>
      </c>
      <c r="F276" s="42">
        <f>IFERROR(_xlfn.XLOOKUP(D276,HELPER!$B:$B,HELPER!$D:$D,""),"")</f>
        <v/>
      </c>
      <c r="G276" s="42" t="n">
        <v>8</v>
      </c>
      <c r="H276" s="556" t="n"/>
      <c r="I276" s="72">
        <f>IF(AND(H276&lt;&gt;"",IFERROR(_xlfn.XLOOKUP(D276,HELPER!$B:$B,HELPER!$E:$E,""),"")=""),"Missing price",IFERROR(_xlfn.XLOOKUP(D276,HELPER!$B:$B,HELPER!$E:$E,"")," "))</f>
        <v/>
      </c>
      <c r="J276" s="72">
        <f>IFERROR(H276*(IF(G276=8,I276*HELPER!$G$2,BOM!I276*HELPER!$G$3))," ")</f>
        <v/>
      </c>
      <c r="K276" s="6" t="n"/>
      <c r="L276" s="14">
        <f t="array" ref="L276">IFERROR(_xlfn.LET(_xlpm.pairs,_xlfn._xlws.FILTER($A$2:$D$391,($A$2:$A$391&lt;&gt;"")*(TRIM($D$2:$D$391)&lt;&gt;"")),_xlpm.uniquePairs,_xlfn.UNIQUE(_xlfn.HSTACK(INDEX(_xlpm.pairs,,1),INDEX(_xlpm.pairs,,4))),_xlpm.sortedPairs,_xlfn._xlws.SORT(_xlpm.uniquePairs,1,1),IF(ROW()-1&lt;=ROWS(_xlpm.sortedPairs),INDEX(_xlpm.sortedPairs,ROW()-1,1),"")),"")</f>
        <v/>
      </c>
      <c r="M276" s="15">
        <f t="array" ref="M276">IFERROR(_xlfn.LET(_xlpm.pairs,_xlfn._xlws.FILTER($A$2:$D$391,($A$2:$A$391&lt;&gt;"")*(TRIM($D$2:$D$391)&lt;&gt;"")),_xlpm.uniquePairs,_xlfn.UNIQUE(_xlfn.HSTACK(INDEX(_xlpm.pairs,,1),INDEX(_xlpm.pairs,,4))),_xlpm.sortedPairs,_xlfn._xlws.SORT(_xlpm.uniquePairs,1,1),IF(ROW()-1&lt;=ROWS(_xlpm.sortedPairs),INDEX(_xlpm.sortedPairs,ROW()-1,2),"")),"")</f>
        <v/>
      </c>
      <c r="N276" s="15">
        <f t="array" ref="N276">IF(OR(L276="",M276=""),"",IFERROR(INDEX($E$2:$E$391,MATCH(1,($A$2:$A$391=L276)*($D$2:$D$391=M276),0)),""))</f>
        <v/>
      </c>
      <c r="O276" s="69">
        <f>IF(OR(L276="",M276=""),"",SUMIFS($J$2:$J$391,$A$2:$A$391,L276,$D$2:$D$391,M276))</f>
        <v/>
      </c>
      <c r="P276" s="6" t="n"/>
    </row>
    <row r="277">
      <c r="A277" s="73" t="n"/>
      <c r="B277" s="44" t="inlineStr">
        <is>
          <t>Ext. A (Out - Chillroll)</t>
        </is>
      </c>
      <c r="C277" s="43" t="n"/>
      <c r="D277" s="43">
        <f>IF(C277="","",IFERROR(_xlfn.XLOOKUP(C277,HELPER!$A$2:$A$76,HELPER!$B$2:$B$76,""),D277))</f>
        <v/>
      </c>
      <c r="E277" s="43">
        <f>IFERROR(_xlfn.XLOOKUP(D277,HELPER!$B:$B,HELPER!$C:$C,""),"")</f>
        <v/>
      </c>
      <c r="F277" s="42">
        <f>IFERROR(_xlfn.XLOOKUP(D277,HELPER!$B:$B,HELPER!$D:$D,""),"")</f>
        <v/>
      </c>
      <c r="G277" s="42" t="n">
        <v>8</v>
      </c>
      <c r="H277" s="556" t="n"/>
      <c r="I277" s="72">
        <f>IF(AND(H277&lt;&gt;"",IFERROR(_xlfn.XLOOKUP(D277,HELPER!$B:$B,HELPER!$E:$E,""),"")=""),"Missing price",IFERROR(_xlfn.XLOOKUP(D277,HELPER!$B:$B,HELPER!$E:$E,"")," "))</f>
        <v/>
      </c>
      <c r="J277" s="72">
        <f>IFERROR(H277*(IF(G277=8,I277*HELPER!$G$2,BOM!I277*HELPER!$G$3))," ")</f>
        <v/>
      </c>
      <c r="K277" s="6" t="n"/>
      <c r="L277" s="14">
        <f t="array" ref="L277">IFERROR(_xlfn.LET(_xlpm.pairs,_xlfn._xlws.FILTER($A$2:$D$391,($A$2:$A$391&lt;&gt;"")*(TRIM($D$2:$D$391)&lt;&gt;"")),_xlpm.uniquePairs,_xlfn.UNIQUE(_xlfn.HSTACK(INDEX(_xlpm.pairs,,1),INDEX(_xlpm.pairs,,4))),_xlpm.sortedPairs,_xlfn._xlws.SORT(_xlpm.uniquePairs,1,1),IF(ROW()-1&lt;=ROWS(_xlpm.sortedPairs),INDEX(_xlpm.sortedPairs,ROW()-1,1),"")),"")</f>
        <v/>
      </c>
      <c r="M277" s="15">
        <f t="array" ref="M277">IFERROR(_xlfn.LET(_xlpm.pairs,_xlfn._xlws.FILTER($A$2:$D$391,($A$2:$A$391&lt;&gt;"")*(TRIM($D$2:$D$391)&lt;&gt;"")),_xlpm.uniquePairs,_xlfn.UNIQUE(_xlfn.HSTACK(INDEX(_xlpm.pairs,,1),INDEX(_xlpm.pairs,,4))),_xlpm.sortedPairs,_xlfn._xlws.SORT(_xlpm.uniquePairs,1,1),IF(ROW()-1&lt;=ROWS(_xlpm.sortedPairs),INDEX(_xlpm.sortedPairs,ROW()-1,2),"")),"")</f>
        <v/>
      </c>
      <c r="N277" s="15">
        <f t="array" ref="N277">IF(OR(L277="",M277=""),"",IFERROR(INDEX($E$2:$E$391,MATCH(1,($A$2:$A$391=L277)*($D$2:$D$391=M277),0)),""))</f>
        <v/>
      </c>
      <c r="O277" s="69">
        <f>IF(OR(L277="",M277=""),"",SUMIFS($J$2:$J$391,$A$2:$A$391,L277,$D$2:$D$391,M277))</f>
        <v/>
      </c>
      <c r="P277" s="6" t="n"/>
    </row>
    <row r="278">
      <c r="A278" s="44" t="n"/>
      <c r="B278" s="44" t="inlineStr">
        <is>
          <t>Ext. A (Out - Chillroll)</t>
        </is>
      </c>
      <c r="C278" s="43" t="n"/>
      <c r="D278" s="43">
        <f>IF(C278="","",IFERROR(_xlfn.XLOOKUP(C278,HELPER!$A$2:$A$76,HELPER!$B$2:$B$76,""),D278))</f>
        <v/>
      </c>
      <c r="E278" s="43">
        <f>IFERROR(_xlfn.XLOOKUP(D278,HELPER!$B:$B,HELPER!$C:$C,""),"")</f>
        <v/>
      </c>
      <c r="F278" s="42">
        <f>IFERROR(_xlfn.XLOOKUP(D278,HELPER!$B:$B,HELPER!$D:$D,""),"")</f>
        <v/>
      </c>
      <c r="G278" s="42" t="n">
        <v>8</v>
      </c>
      <c r="H278" s="556" t="n"/>
      <c r="I278" s="72">
        <f>IF(AND(H278&lt;&gt;"",IFERROR(_xlfn.XLOOKUP(D278,HELPER!$B:$B,HELPER!$E:$E,""),"")=""),"Missing price",IFERROR(_xlfn.XLOOKUP(D278,HELPER!$B:$B,HELPER!$E:$E,"")," "))</f>
        <v/>
      </c>
      <c r="J278" s="72">
        <f>IFERROR(H278*(IF(G278=8,I278*HELPER!$G$2,BOM!I278*HELPER!$G$3))," ")</f>
        <v/>
      </c>
      <c r="K278" s="6" t="n"/>
      <c r="L278" s="14">
        <f t="array" ref="L278">IFERROR(_xlfn.LET(_xlpm.pairs,_xlfn._xlws.FILTER($A$2:$D$391,($A$2:$A$391&lt;&gt;"")*(TRIM($D$2:$D$391)&lt;&gt;"")),_xlpm.uniquePairs,_xlfn.UNIQUE(_xlfn.HSTACK(INDEX(_xlpm.pairs,,1),INDEX(_xlpm.pairs,,4))),_xlpm.sortedPairs,_xlfn._xlws.SORT(_xlpm.uniquePairs,1,1),IF(ROW()-1&lt;=ROWS(_xlpm.sortedPairs),INDEX(_xlpm.sortedPairs,ROW()-1,1),"")),"")</f>
        <v/>
      </c>
      <c r="M278" s="15">
        <f t="array" ref="M278">IFERROR(_xlfn.LET(_xlpm.pairs,_xlfn._xlws.FILTER($A$2:$D$391,($A$2:$A$391&lt;&gt;"")*(TRIM($D$2:$D$391)&lt;&gt;"")),_xlpm.uniquePairs,_xlfn.UNIQUE(_xlfn.HSTACK(INDEX(_xlpm.pairs,,1),INDEX(_xlpm.pairs,,4))),_xlpm.sortedPairs,_xlfn._xlws.SORT(_xlpm.uniquePairs,1,1),IF(ROW()-1&lt;=ROWS(_xlpm.sortedPairs),INDEX(_xlpm.sortedPairs,ROW()-1,2),"")),"")</f>
        <v/>
      </c>
      <c r="N278" s="15">
        <f t="array" ref="N278">IF(OR(L278="",M278=""),"",IFERROR(INDEX($E$2:$E$391,MATCH(1,($A$2:$A$391=L278)*($D$2:$D$391=M278),0)),""))</f>
        <v/>
      </c>
      <c r="O278" s="69">
        <f>IF(OR(L278="",M278=""),"",SUMIFS($J$2:$J$391,$A$2:$A$391,L278,$D$2:$D$391,M278))</f>
        <v/>
      </c>
      <c r="P278" s="6" t="n"/>
    </row>
    <row r="279">
      <c r="A279" s="44" t="n"/>
      <c r="B279" s="44" t="inlineStr">
        <is>
          <t>Ext. A (Out - Chillroll)</t>
        </is>
      </c>
      <c r="C279" s="43" t="n"/>
      <c r="D279" s="43">
        <f>IF(C279="","",IFERROR(_xlfn.XLOOKUP(C279,HELPER!$A$2:$A$76,HELPER!$B$2:$B$76,""),D279))</f>
        <v/>
      </c>
      <c r="E279" s="43">
        <f>IFERROR(_xlfn.XLOOKUP(D279,HELPER!$B:$B,HELPER!$C:$C,""),"")</f>
        <v/>
      </c>
      <c r="F279" s="42">
        <f>IFERROR(_xlfn.XLOOKUP(D279,HELPER!$B:$B,HELPER!$D:$D,""),"")</f>
        <v/>
      </c>
      <c r="G279" s="42" t="n">
        <v>8</v>
      </c>
      <c r="H279" s="556" t="n"/>
      <c r="I279" s="72">
        <f>IF(AND(H279&lt;&gt;"",IFERROR(_xlfn.XLOOKUP(D279,HELPER!$B:$B,HELPER!$E:$E,""),"")=""),"Missing price",IFERROR(_xlfn.XLOOKUP(D279,HELPER!$B:$B,HELPER!$E:$E,"")," "))</f>
        <v/>
      </c>
      <c r="J279" s="72">
        <f>IFERROR(H279*(IF(G279=8,I279*HELPER!$G$2,BOM!I279*HELPER!$G$3))," ")</f>
        <v/>
      </c>
      <c r="K279" s="6" t="n"/>
      <c r="L279" s="14">
        <f t="array" ref="L279">IFERROR(_xlfn.LET(_xlpm.pairs,_xlfn._xlws.FILTER($A$2:$D$391,($A$2:$A$391&lt;&gt;"")*(TRIM($D$2:$D$391)&lt;&gt;"")),_xlpm.uniquePairs,_xlfn.UNIQUE(_xlfn.HSTACK(INDEX(_xlpm.pairs,,1),INDEX(_xlpm.pairs,,4))),_xlpm.sortedPairs,_xlfn._xlws.SORT(_xlpm.uniquePairs,1,1),IF(ROW()-1&lt;=ROWS(_xlpm.sortedPairs),INDEX(_xlpm.sortedPairs,ROW()-1,1),"")),"")</f>
        <v/>
      </c>
      <c r="M279" s="15">
        <f t="array" ref="M279">IFERROR(_xlfn.LET(_xlpm.pairs,_xlfn._xlws.FILTER($A$2:$D$391,($A$2:$A$391&lt;&gt;"")*(TRIM($D$2:$D$391)&lt;&gt;"")),_xlpm.uniquePairs,_xlfn.UNIQUE(_xlfn.HSTACK(INDEX(_xlpm.pairs,,1),INDEX(_xlpm.pairs,,4))),_xlpm.sortedPairs,_xlfn._xlws.SORT(_xlpm.uniquePairs,1,1),IF(ROW()-1&lt;=ROWS(_xlpm.sortedPairs),INDEX(_xlpm.sortedPairs,ROW()-1,2),"")),"")</f>
        <v/>
      </c>
      <c r="N279" s="15">
        <f t="array" ref="N279">IF(OR(L279="",M279=""),"",IFERROR(INDEX($E$2:$E$391,MATCH(1,($A$2:$A$391=L279)*($D$2:$D$391=M279),0)),""))</f>
        <v/>
      </c>
      <c r="O279" s="69">
        <f>IF(OR(L279="",M279=""),"",SUMIFS($J$2:$J$391,$A$2:$A$391,L279,$D$2:$D$391,M279))</f>
        <v/>
      </c>
      <c r="P279" s="6" t="n"/>
    </row>
    <row r="280">
      <c r="A280" s="44" t="n"/>
      <c r="B280" s="44" t="inlineStr">
        <is>
          <t>Ext. A (Out - Chillroll)</t>
        </is>
      </c>
      <c r="C280" s="43" t="n"/>
      <c r="D280" s="43">
        <f>IF(C280="","",IFERROR(_xlfn.XLOOKUP(C280,HELPER!$A$2:$A$76,HELPER!$B$2:$B$76,""),D280))</f>
        <v/>
      </c>
      <c r="E280" s="43">
        <f>IFERROR(_xlfn.XLOOKUP(D280,HELPER!$B:$B,HELPER!$C:$C,""),"")</f>
        <v/>
      </c>
      <c r="F280" s="42">
        <f>IFERROR(_xlfn.XLOOKUP(D280,HELPER!$B:$B,HELPER!$D:$D,""),"")</f>
        <v/>
      </c>
      <c r="G280" s="42" t="n">
        <v>8</v>
      </c>
      <c r="H280" s="556" t="n"/>
      <c r="I280" s="72">
        <f>IF(AND(H280&lt;&gt;"",IFERROR(_xlfn.XLOOKUP(D280,HELPER!$B:$B,HELPER!$E:$E,""),"")=""),"Missing price",IFERROR(_xlfn.XLOOKUP(D280,HELPER!$B:$B,HELPER!$E:$E,"")," "))</f>
        <v/>
      </c>
      <c r="J280" s="72">
        <f>IFERROR(H280*(IF(G280=8,I280*HELPER!$G$2,BOM!I280*HELPER!$G$3))," ")</f>
        <v/>
      </c>
      <c r="K280" s="6" t="n"/>
      <c r="L280" s="14">
        <f t="array" ref="L280">IFERROR(_xlfn.LET(_xlpm.pairs,_xlfn._xlws.FILTER($A$2:$D$391,($A$2:$A$391&lt;&gt;"")*(TRIM($D$2:$D$391)&lt;&gt;"")),_xlpm.uniquePairs,_xlfn.UNIQUE(_xlfn.HSTACK(INDEX(_xlpm.pairs,,1),INDEX(_xlpm.pairs,,4))),_xlpm.sortedPairs,_xlfn._xlws.SORT(_xlpm.uniquePairs,1,1),IF(ROW()-1&lt;=ROWS(_xlpm.sortedPairs),INDEX(_xlpm.sortedPairs,ROW()-1,1),"")),"")</f>
        <v/>
      </c>
      <c r="M280" s="15">
        <f t="array" ref="M280">IFERROR(_xlfn.LET(_xlpm.pairs,_xlfn._xlws.FILTER($A$2:$D$391,($A$2:$A$391&lt;&gt;"")*(TRIM($D$2:$D$391)&lt;&gt;"")),_xlpm.uniquePairs,_xlfn.UNIQUE(_xlfn.HSTACK(INDEX(_xlpm.pairs,,1),INDEX(_xlpm.pairs,,4))),_xlpm.sortedPairs,_xlfn._xlws.SORT(_xlpm.uniquePairs,1,1),IF(ROW()-1&lt;=ROWS(_xlpm.sortedPairs),INDEX(_xlpm.sortedPairs,ROW()-1,2),"")),"")</f>
        <v/>
      </c>
      <c r="N280" s="15">
        <f t="array" ref="N280">IF(OR(L280="",M280=""),"",IFERROR(INDEX($E$2:$E$391,MATCH(1,($A$2:$A$391=L280)*($D$2:$D$391=M280),0)),""))</f>
        <v/>
      </c>
      <c r="O280" s="69">
        <f>IF(OR(L280="",M280=""),"",SUMIFS($J$2:$J$391,$A$2:$A$391,L280,$D$2:$D$391,M280))</f>
        <v/>
      </c>
      <c r="P280" s="6" t="n"/>
    </row>
    <row r="281">
      <c r="A281" s="44" t="n"/>
      <c r="B281" s="44" t="inlineStr">
        <is>
          <t>Ext. A (Out - Chillroll)</t>
        </is>
      </c>
      <c r="C281" s="43" t="n"/>
      <c r="D281" s="43">
        <f>IF(C281="","",IFERROR(_xlfn.XLOOKUP(C281,HELPER!$A$2:$A$76,HELPER!$B$2:$B$76,""),D281))</f>
        <v/>
      </c>
      <c r="E281" s="43">
        <f>IFERROR(_xlfn.XLOOKUP(D281,HELPER!$B:$B,HELPER!$C:$C,""),"")</f>
        <v/>
      </c>
      <c r="F281" s="42">
        <f>IFERROR(_xlfn.XLOOKUP(D281,HELPER!$B:$B,HELPER!$D:$D,""),"")</f>
        <v/>
      </c>
      <c r="G281" s="42" t="n">
        <v>8</v>
      </c>
      <c r="H281" s="556" t="n"/>
      <c r="I281" s="72">
        <f>IF(AND(H281&lt;&gt;"",IFERROR(_xlfn.XLOOKUP(D281,HELPER!$B:$B,HELPER!$E:$E,""),"")=""),"Missing price",IFERROR(_xlfn.XLOOKUP(D281,HELPER!$B:$B,HELPER!$E:$E,"")," "))</f>
        <v/>
      </c>
      <c r="J281" s="72">
        <f>IFERROR(H281*(IF(G281=8,I281*HELPER!$G$2,BOM!I281*HELPER!$G$3))," ")</f>
        <v/>
      </c>
      <c r="K281" s="6" t="n"/>
      <c r="L281" s="14">
        <f t="array" ref="L281">IFERROR(_xlfn.LET(_xlpm.pairs,_xlfn._xlws.FILTER($A$2:$D$391,($A$2:$A$391&lt;&gt;"")*(TRIM($D$2:$D$391)&lt;&gt;"")),_xlpm.uniquePairs,_xlfn.UNIQUE(_xlfn.HSTACK(INDEX(_xlpm.pairs,,1),INDEX(_xlpm.pairs,,4))),_xlpm.sortedPairs,_xlfn._xlws.SORT(_xlpm.uniquePairs,1,1),IF(ROW()-1&lt;=ROWS(_xlpm.sortedPairs),INDEX(_xlpm.sortedPairs,ROW()-1,1),"")),"")</f>
        <v/>
      </c>
      <c r="M281" s="15">
        <f t="array" ref="M281">IFERROR(_xlfn.LET(_xlpm.pairs,_xlfn._xlws.FILTER($A$2:$D$391,($A$2:$A$391&lt;&gt;"")*(TRIM($D$2:$D$391)&lt;&gt;"")),_xlpm.uniquePairs,_xlfn.UNIQUE(_xlfn.HSTACK(INDEX(_xlpm.pairs,,1),INDEX(_xlpm.pairs,,4))),_xlpm.sortedPairs,_xlfn._xlws.SORT(_xlpm.uniquePairs,1,1),IF(ROW()-1&lt;=ROWS(_xlpm.sortedPairs),INDEX(_xlpm.sortedPairs,ROW()-1,2),"")),"")</f>
        <v/>
      </c>
      <c r="N281" s="15">
        <f t="array" ref="N281">IF(OR(L281="",M281=""),"",IFERROR(INDEX($E$2:$E$391,MATCH(1,($A$2:$A$391=L281)*($D$2:$D$391=M281),0)),""))</f>
        <v/>
      </c>
      <c r="O281" s="69">
        <f>IF(OR(L281="",M281=""),"",SUMIFS($J$2:$J$391,$A$2:$A$391,L281,$D$2:$D$391,M281))</f>
        <v/>
      </c>
      <c r="P281" s="6" t="n"/>
    </row>
    <row r="282">
      <c r="A282" s="44" t="n"/>
      <c r="B282" s="44" t="inlineStr">
        <is>
          <t xml:space="preserve">Ext. B </t>
        </is>
      </c>
      <c r="C282" s="43" t="n"/>
      <c r="D282" s="43">
        <f>IF(C282="","",IFERROR(_xlfn.XLOOKUP(C282,HELPER!$A$2:$A$76,HELPER!$B$2:$B$76,""),D282))</f>
        <v/>
      </c>
      <c r="E282" s="43">
        <f>IFERROR(_xlfn.XLOOKUP(D282,HELPER!$B:$B,HELPER!$C:$C,""),"")</f>
        <v/>
      </c>
      <c r="F282" s="42">
        <f>IFERROR(_xlfn.XLOOKUP(D282,HELPER!$B:$B,HELPER!$D:$D,""),"")</f>
        <v/>
      </c>
      <c r="G282" s="42" t="n">
        <v>24</v>
      </c>
      <c r="H282" s="556" t="n"/>
      <c r="I282" s="72">
        <f>IF(AND(H282&lt;&gt;"",IFERROR(_xlfn.XLOOKUP(D282,HELPER!$B:$B,HELPER!$E:$E,""),"")=""),"Missing price",IFERROR(_xlfn.XLOOKUP(D282,HELPER!$B:$B,HELPER!$E:$E,"")," "))</f>
        <v/>
      </c>
      <c r="J282" s="72">
        <f>IFERROR(H282*(IF(G282=8,I282*HELPER!$G$2,BOM!I282*HELPER!$G$3))," ")</f>
        <v/>
      </c>
      <c r="K282" s="6" t="n"/>
      <c r="L282" s="14">
        <f t="array" ref="L282">IFERROR(_xlfn.LET(_xlpm.pairs,_xlfn._xlws.FILTER($A$2:$D$391,($A$2:$A$391&lt;&gt;"")*(TRIM($D$2:$D$391)&lt;&gt;"")),_xlpm.uniquePairs,_xlfn.UNIQUE(_xlfn.HSTACK(INDEX(_xlpm.pairs,,1),INDEX(_xlpm.pairs,,4))),_xlpm.sortedPairs,_xlfn._xlws.SORT(_xlpm.uniquePairs,1,1),IF(ROW()-1&lt;=ROWS(_xlpm.sortedPairs),INDEX(_xlpm.sortedPairs,ROW()-1,1),"")),"")</f>
        <v/>
      </c>
      <c r="M282" s="15">
        <f t="array" ref="M282">IFERROR(_xlfn.LET(_xlpm.pairs,_xlfn._xlws.FILTER($A$2:$D$391,($A$2:$A$391&lt;&gt;"")*(TRIM($D$2:$D$391)&lt;&gt;"")),_xlpm.uniquePairs,_xlfn.UNIQUE(_xlfn.HSTACK(INDEX(_xlpm.pairs,,1),INDEX(_xlpm.pairs,,4))),_xlpm.sortedPairs,_xlfn._xlws.SORT(_xlpm.uniquePairs,1,1),IF(ROW()-1&lt;=ROWS(_xlpm.sortedPairs),INDEX(_xlpm.sortedPairs,ROW()-1,2),"")),"")</f>
        <v/>
      </c>
      <c r="N282" s="15">
        <f t="array" ref="N282">IF(OR(L282="",M282=""),"",IFERROR(INDEX($E$2:$E$391,MATCH(1,($A$2:$A$391=L282)*($D$2:$D$391=M282),0)),""))</f>
        <v/>
      </c>
      <c r="O282" s="69">
        <f>IF(OR(L282="",M282=""),"",SUMIFS($J$2:$J$391,$A$2:$A$391,L282,$D$2:$D$391,M282))</f>
        <v/>
      </c>
      <c r="P282" s="6" t="n"/>
    </row>
    <row r="283">
      <c r="A283" s="44" t="n"/>
      <c r="B283" s="44" t="inlineStr">
        <is>
          <t xml:space="preserve">Ext. B </t>
        </is>
      </c>
      <c r="C283" s="43" t="n"/>
      <c r="D283" s="43">
        <f>IF(C283="","",IFERROR(_xlfn.XLOOKUP(C283,HELPER!$A$2:$A$76,HELPER!$B$2:$B$76,""),D283))</f>
        <v/>
      </c>
      <c r="E283" s="43">
        <f>IFERROR(_xlfn.XLOOKUP(D283,HELPER!$B:$B,HELPER!$C:$C,""),"")</f>
        <v/>
      </c>
      <c r="F283" s="42">
        <f>IFERROR(_xlfn.XLOOKUP(D283,HELPER!$B:$B,HELPER!$D:$D,""),"")</f>
        <v/>
      </c>
      <c r="G283" s="42" t="n">
        <v>24</v>
      </c>
      <c r="H283" s="556" t="n"/>
      <c r="I283" s="72">
        <f>IF(AND(H283&lt;&gt;"",IFERROR(_xlfn.XLOOKUP(D283,HELPER!$B:$B,HELPER!$E:$E,""),"")=""),"Missing price",IFERROR(_xlfn.XLOOKUP(D283,HELPER!$B:$B,HELPER!$E:$E,"")," "))</f>
        <v/>
      </c>
      <c r="J283" s="72">
        <f>IFERROR(H283*(IF(G283=8,I283*HELPER!$G$2,BOM!I283*HELPER!$G$3))," ")</f>
        <v/>
      </c>
      <c r="K283" s="6" t="n"/>
      <c r="L283" s="14">
        <f t="array" ref="L283">IFERROR(_xlfn.LET(_xlpm.pairs,_xlfn._xlws.FILTER($A$2:$D$391,($A$2:$A$391&lt;&gt;"")*(TRIM($D$2:$D$391)&lt;&gt;"")),_xlpm.uniquePairs,_xlfn.UNIQUE(_xlfn.HSTACK(INDEX(_xlpm.pairs,,1),INDEX(_xlpm.pairs,,4))),_xlpm.sortedPairs,_xlfn._xlws.SORT(_xlpm.uniquePairs,1,1),IF(ROW()-1&lt;=ROWS(_xlpm.sortedPairs),INDEX(_xlpm.sortedPairs,ROW()-1,1),"")),"")</f>
        <v/>
      </c>
      <c r="M283" s="15">
        <f t="array" ref="M283">IFERROR(_xlfn.LET(_xlpm.pairs,_xlfn._xlws.FILTER($A$2:$D$391,($A$2:$A$391&lt;&gt;"")*(TRIM($D$2:$D$391)&lt;&gt;"")),_xlpm.uniquePairs,_xlfn.UNIQUE(_xlfn.HSTACK(INDEX(_xlpm.pairs,,1),INDEX(_xlpm.pairs,,4))),_xlpm.sortedPairs,_xlfn._xlws.SORT(_xlpm.uniquePairs,1,1),IF(ROW()-1&lt;=ROWS(_xlpm.sortedPairs),INDEX(_xlpm.sortedPairs,ROW()-1,2),"")),"")</f>
        <v/>
      </c>
      <c r="N283" s="15">
        <f t="array" ref="N283">IF(OR(L283="",M283=""),"",IFERROR(INDEX($E$2:$E$391,MATCH(1,($A$2:$A$391=L283)*($D$2:$D$391=M283),0)),""))</f>
        <v/>
      </c>
      <c r="O283" s="69">
        <f>IF(OR(L283="",M283=""),"",SUMIFS($J$2:$J$391,$A$2:$A$391,L283,$D$2:$D$391,M283))</f>
        <v/>
      </c>
      <c r="P283" s="6" t="n"/>
    </row>
    <row r="284">
      <c r="A284" s="44" t="n"/>
      <c r="B284" s="44" t="inlineStr">
        <is>
          <t xml:space="preserve">Ext. B </t>
        </is>
      </c>
      <c r="C284" s="43" t="n"/>
      <c r="D284" s="43">
        <f>IF(C284="","",IFERROR(_xlfn.XLOOKUP(C284,HELPER!$A$2:$A$76,HELPER!$B$2:$B$76,""),D284))</f>
        <v/>
      </c>
      <c r="E284" s="43">
        <f>IFERROR(_xlfn.XLOOKUP(D284,HELPER!$B:$B,HELPER!$C:$C,""),"")</f>
        <v/>
      </c>
      <c r="F284" s="42">
        <f>IFERROR(_xlfn.XLOOKUP(D284,HELPER!$B:$B,HELPER!$D:$D,""),"")</f>
        <v/>
      </c>
      <c r="G284" s="42" t="n">
        <v>24</v>
      </c>
      <c r="H284" s="556" t="n"/>
      <c r="I284" s="72">
        <f>IF(AND(H284&lt;&gt;"",IFERROR(_xlfn.XLOOKUP(D284,HELPER!$B:$B,HELPER!$E:$E,""),"")=""),"Missing price",IFERROR(_xlfn.XLOOKUP(D284,HELPER!$B:$B,HELPER!$E:$E,"")," "))</f>
        <v/>
      </c>
      <c r="J284" s="72">
        <f>IFERROR(H284*(IF(G284=8,I284*HELPER!$G$2,BOM!I284*HELPER!$G$3))," ")</f>
        <v/>
      </c>
      <c r="K284" s="6" t="n"/>
      <c r="L284" s="14">
        <f t="array" ref="L284">IFERROR(_xlfn.LET(_xlpm.pairs,_xlfn._xlws.FILTER($A$2:$D$391,($A$2:$A$391&lt;&gt;"")*(TRIM($D$2:$D$391)&lt;&gt;"")),_xlpm.uniquePairs,_xlfn.UNIQUE(_xlfn.HSTACK(INDEX(_xlpm.pairs,,1),INDEX(_xlpm.pairs,,4))),_xlpm.sortedPairs,_xlfn._xlws.SORT(_xlpm.uniquePairs,1,1),IF(ROW()-1&lt;=ROWS(_xlpm.sortedPairs),INDEX(_xlpm.sortedPairs,ROW()-1,1),"")),"")</f>
        <v/>
      </c>
      <c r="M284" s="15">
        <f t="array" ref="M284">IFERROR(_xlfn.LET(_xlpm.pairs,_xlfn._xlws.FILTER($A$2:$D$391,($A$2:$A$391&lt;&gt;"")*(TRIM($D$2:$D$391)&lt;&gt;"")),_xlpm.uniquePairs,_xlfn.UNIQUE(_xlfn.HSTACK(INDEX(_xlpm.pairs,,1),INDEX(_xlpm.pairs,,4))),_xlpm.sortedPairs,_xlfn._xlws.SORT(_xlpm.uniquePairs,1,1),IF(ROW()-1&lt;=ROWS(_xlpm.sortedPairs),INDEX(_xlpm.sortedPairs,ROW()-1,2),"")),"")</f>
        <v/>
      </c>
      <c r="N284" s="15">
        <f t="array" ref="N284">IF(OR(L284="",M284=""),"",IFERROR(INDEX($E$2:$E$391,MATCH(1,($A$2:$A$391=L284)*($D$2:$D$391=M284),0)),""))</f>
        <v/>
      </c>
      <c r="O284" s="69">
        <f>IF(OR(L284="",M284=""),"",SUMIFS($J$2:$J$391,$A$2:$A$391,L284,$D$2:$D$391,M284))</f>
        <v/>
      </c>
      <c r="P284" s="6" t="n"/>
    </row>
    <row r="285">
      <c r="A285" s="44" t="n"/>
      <c r="B285" s="44" t="inlineStr">
        <is>
          <t xml:space="preserve">Ext. B </t>
        </is>
      </c>
      <c r="C285" s="43" t="n"/>
      <c r="D285" s="43">
        <f>IF(C285="","",IFERROR(_xlfn.XLOOKUP(C285,HELPER!$A$2:$A$76,HELPER!$B$2:$B$76,""),D285))</f>
        <v/>
      </c>
      <c r="E285" s="43">
        <f>IFERROR(_xlfn.XLOOKUP(D285,HELPER!$B:$B,HELPER!$C:$C,""),"")</f>
        <v/>
      </c>
      <c r="F285" s="42">
        <f>IFERROR(_xlfn.XLOOKUP(D285,HELPER!$B:$B,HELPER!$D:$D,""),"")</f>
        <v/>
      </c>
      <c r="G285" s="42" t="n">
        <v>24</v>
      </c>
      <c r="H285" s="556" t="n"/>
      <c r="I285" s="72">
        <f>IF(AND(H285&lt;&gt;"",IFERROR(_xlfn.XLOOKUP(D285,HELPER!$B:$B,HELPER!$E:$E,""),"")=""),"Missing price",IFERROR(_xlfn.XLOOKUP(D285,HELPER!$B:$B,HELPER!$E:$E,"")," "))</f>
        <v/>
      </c>
      <c r="J285" s="72">
        <f>IFERROR(H285*(IF(G285=8,I285*HELPER!$G$2,BOM!I285*HELPER!$G$3))," ")</f>
        <v/>
      </c>
      <c r="K285" s="6" t="n"/>
      <c r="L285" s="14">
        <f t="array" ref="L285">IFERROR(_xlfn.LET(_xlpm.pairs,_xlfn._xlws.FILTER($A$2:$D$391,($A$2:$A$391&lt;&gt;"")*(TRIM($D$2:$D$391)&lt;&gt;"")),_xlpm.uniquePairs,_xlfn.UNIQUE(_xlfn.HSTACK(INDEX(_xlpm.pairs,,1),INDEX(_xlpm.pairs,,4))),_xlpm.sortedPairs,_xlfn._xlws.SORT(_xlpm.uniquePairs,1,1),IF(ROW()-1&lt;=ROWS(_xlpm.sortedPairs),INDEX(_xlpm.sortedPairs,ROW()-1,1),"")),"")</f>
        <v/>
      </c>
      <c r="M285" s="15">
        <f t="array" ref="M285">IFERROR(_xlfn.LET(_xlpm.pairs,_xlfn._xlws.FILTER($A$2:$D$391,($A$2:$A$391&lt;&gt;"")*(TRIM($D$2:$D$391)&lt;&gt;"")),_xlpm.uniquePairs,_xlfn.UNIQUE(_xlfn.HSTACK(INDEX(_xlpm.pairs,,1),INDEX(_xlpm.pairs,,4))),_xlpm.sortedPairs,_xlfn._xlws.SORT(_xlpm.uniquePairs,1,1),IF(ROW()-1&lt;=ROWS(_xlpm.sortedPairs),INDEX(_xlpm.sortedPairs,ROW()-1,2),"")),"")</f>
        <v/>
      </c>
      <c r="N285" s="15">
        <f t="array" ref="N285">IF(OR(L285="",M285=""),"",IFERROR(INDEX($E$2:$E$391,MATCH(1,($A$2:$A$391=L285)*($D$2:$D$391=M285),0)),""))</f>
        <v/>
      </c>
      <c r="O285" s="69">
        <f>IF(OR(L285="",M285=""),"",SUMIFS($J$2:$J$391,$A$2:$A$391,L285,$D$2:$D$391,M285))</f>
        <v/>
      </c>
      <c r="P285" s="6" t="n"/>
    </row>
    <row r="286">
      <c r="A286" s="44" t="n"/>
      <c r="B286" s="44" t="inlineStr">
        <is>
          <t xml:space="preserve">Ext. B </t>
        </is>
      </c>
      <c r="C286" s="43" t="n"/>
      <c r="D286" s="43">
        <f>IF(C286="","",IFERROR(_xlfn.XLOOKUP(C286,HELPER!$A$2:$A$76,HELPER!$B$2:$B$76,""),D286))</f>
        <v/>
      </c>
      <c r="E286" s="43">
        <f>IFERROR(_xlfn.XLOOKUP(D286,HELPER!$B:$B,HELPER!$C:$C,""),"")</f>
        <v/>
      </c>
      <c r="F286" s="42">
        <f>IFERROR(_xlfn.XLOOKUP(D286,HELPER!$B:$B,HELPER!$D:$D,""),"")</f>
        <v/>
      </c>
      <c r="G286" s="42" t="n">
        <v>24</v>
      </c>
      <c r="H286" s="556" t="n"/>
      <c r="I286" s="72">
        <f>IF(AND(H286&lt;&gt;"",IFERROR(_xlfn.XLOOKUP(D286,HELPER!$B:$B,HELPER!$E:$E,""),"")=""),"Missing price",IFERROR(_xlfn.XLOOKUP(D286,HELPER!$B:$B,HELPER!$E:$E,"")," "))</f>
        <v/>
      </c>
      <c r="J286" s="72">
        <f>IFERROR(H286*(IF(G286=8,I286*HELPER!$G$2,BOM!I286*HELPER!$G$3))," ")</f>
        <v/>
      </c>
      <c r="K286" s="6" t="n"/>
      <c r="L286" s="14">
        <f t="array" ref="L286">IFERROR(_xlfn.LET(_xlpm.pairs,_xlfn._xlws.FILTER($A$2:$D$391,($A$2:$A$391&lt;&gt;"")*(TRIM($D$2:$D$391)&lt;&gt;"")),_xlpm.uniquePairs,_xlfn.UNIQUE(_xlfn.HSTACK(INDEX(_xlpm.pairs,,1),INDEX(_xlpm.pairs,,4))),_xlpm.sortedPairs,_xlfn._xlws.SORT(_xlpm.uniquePairs,1,1),IF(ROW()-1&lt;=ROWS(_xlpm.sortedPairs),INDEX(_xlpm.sortedPairs,ROW()-1,1),"")),"")</f>
        <v/>
      </c>
      <c r="M286" s="15">
        <f t="array" ref="M286">IFERROR(_xlfn.LET(_xlpm.pairs,_xlfn._xlws.FILTER($A$2:$D$391,($A$2:$A$391&lt;&gt;"")*(TRIM($D$2:$D$391)&lt;&gt;"")),_xlpm.uniquePairs,_xlfn.UNIQUE(_xlfn.HSTACK(INDEX(_xlpm.pairs,,1),INDEX(_xlpm.pairs,,4))),_xlpm.sortedPairs,_xlfn._xlws.SORT(_xlpm.uniquePairs,1,1),IF(ROW()-1&lt;=ROWS(_xlpm.sortedPairs),INDEX(_xlpm.sortedPairs,ROW()-1,2),"")),"")</f>
        <v/>
      </c>
      <c r="N286" s="15">
        <f t="array" ref="N286">IF(OR(L286="",M286=""),"",IFERROR(INDEX($E$2:$E$391,MATCH(1,($A$2:$A$391=L286)*($D$2:$D$391=M286),0)),""))</f>
        <v/>
      </c>
      <c r="O286" s="69">
        <f>IF(OR(L286="",M286=""),"",SUMIFS($J$2:$J$391,$A$2:$A$391,L286,$D$2:$D$391,M286))</f>
        <v/>
      </c>
      <c r="P286" s="6" t="n"/>
    </row>
    <row r="287">
      <c r="A287" s="44" t="n"/>
      <c r="B287" s="44" t="inlineStr">
        <is>
          <t xml:space="preserve">Ext. B </t>
        </is>
      </c>
      <c r="C287" s="43" t="n"/>
      <c r="D287" s="43">
        <f>IF(C287="","",IFERROR(_xlfn.XLOOKUP(C287,HELPER!$A$2:$A$76,HELPER!$B$2:$B$76,""),D287))</f>
        <v/>
      </c>
      <c r="E287" s="43">
        <f>IFERROR(_xlfn.XLOOKUP(D287,HELPER!$B:$B,HELPER!$C:$C,""),"")</f>
        <v/>
      </c>
      <c r="F287" s="42">
        <f>IFERROR(_xlfn.XLOOKUP(D287,HELPER!$B:$B,HELPER!$D:$D,""),"")</f>
        <v/>
      </c>
      <c r="G287" s="42" t="n">
        <v>24</v>
      </c>
      <c r="H287" s="556" t="n"/>
      <c r="I287" s="72">
        <f>IF(AND(H287&lt;&gt;"",IFERROR(_xlfn.XLOOKUP(D287,HELPER!$B:$B,HELPER!$E:$E,""),"")=""),"Missing price",IFERROR(_xlfn.XLOOKUP(D287,HELPER!$B:$B,HELPER!$E:$E,"")," "))</f>
        <v/>
      </c>
      <c r="J287" s="72">
        <f>IFERROR(H287*(IF(G287=8,I287*HELPER!$G$2,BOM!I287*HELPER!$G$3))," ")</f>
        <v/>
      </c>
      <c r="K287" s="6" t="n"/>
      <c r="L287" s="14">
        <f t="array" ref="L287">IFERROR(_xlfn.LET(_xlpm.pairs,_xlfn._xlws.FILTER($A$2:$D$391,($A$2:$A$391&lt;&gt;"")*(TRIM($D$2:$D$391)&lt;&gt;"")),_xlpm.uniquePairs,_xlfn.UNIQUE(_xlfn.HSTACK(INDEX(_xlpm.pairs,,1),INDEX(_xlpm.pairs,,4))),_xlpm.sortedPairs,_xlfn._xlws.SORT(_xlpm.uniquePairs,1,1),IF(ROW()-1&lt;=ROWS(_xlpm.sortedPairs),INDEX(_xlpm.sortedPairs,ROW()-1,1),"")),"")</f>
        <v/>
      </c>
      <c r="M287" s="15">
        <f t="array" ref="M287">IFERROR(_xlfn.LET(_xlpm.pairs,_xlfn._xlws.FILTER($A$2:$D$391,($A$2:$A$391&lt;&gt;"")*(TRIM($D$2:$D$391)&lt;&gt;"")),_xlpm.uniquePairs,_xlfn.UNIQUE(_xlfn.HSTACK(INDEX(_xlpm.pairs,,1),INDEX(_xlpm.pairs,,4))),_xlpm.sortedPairs,_xlfn._xlws.SORT(_xlpm.uniquePairs,1,1),IF(ROW()-1&lt;=ROWS(_xlpm.sortedPairs),INDEX(_xlpm.sortedPairs,ROW()-1,2),"")),"")</f>
        <v/>
      </c>
      <c r="N287" s="15">
        <f t="array" ref="N287">IF(OR(L287="",M287=""),"",IFERROR(INDEX($E$2:$E$391,MATCH(1,($A$2:$A$391=L287)*($D$2:$D$391=M287),0)),""))</f>
        <v/>
      </c>
      <c r="O287" s="69">
        <f>IF(OR(L287="",M287=""),"",SUMIFS($J$2:$J$391,$A$2:$A$391,L287,$D$2:$D$391,M287))</f>
        <v/>
      </c>
      <c r="P287" s="6" t="n"/>
    </row>
    <row r="288">
      <c r="A288" s="44" t="n"/>
      <c r="B288" s="44" t="inlineStr">
        <is>
          <t xml:space="preserve">Ext. B </t>
        </is>
      </c>
      <c r="C288" s="43" t="n"/>
      <c r="D288" s="43">
        <f>IF(C288="","",IFERROR(_xlfn.XLOOKUP(C288,HELPER!$A$2:$A$76,HELPER!$B$2:$B$76,""),D288))</f>
        <v/>
      </c>
      <c r="E288" s="43">
        <f>IFERROR(_xlfn.XLOOKUP(D288,HELPER!$B:$B,HELPER!$C:$C,""),"")</f>
        <v/>
      </c>
      <c r="F288" s="42">
        <f>IFERROR(_xlfn.XLOOKUP(D288,HELPER!$B:$B,HELPER!$D:$D,""),"")</f>
        <v/>
      </c>
      <c r="G288" s="42" t="n">
        <v>24</v>
      </c>
      <c r="H288" s="556" t="n"/>
      <c r="I288" s="72">
        <f>IF(AND(H288&lt;&gt;"",IFERROR(_xlfn.XLOOKUP(D288,HELPER!$B:$B,HELPER!$E:$E,""),"")=""),"Missing price",IFERROR(_xlfn.XLOOKUP(D288,HELPER!$B:$B,HELPER!$E:$E,"")," "))</f>
        <v/>
      </c>
      <c r="J288" s="72">
        <f>IFERROR(H288*(IF(G288=8,I288*HELPER!$G$2,BOM!I288*HELPER!$G$3))," ")</f>
        <v/>
      </c>
      <c r="K288" s="6" t="n"/>
      <c r="L288" s="14">
        <f t="array" ref="L288">IFERROR(_xlfn.LET(_xlpm.pairs,_xlfn._xlws.FILTER($A$2:$D$391,($A$2:$A$391&lt;&gt;"")*(TRIM($D$2:$D$391)&lt;&gt;"")),_xlpm.uniquePairs,_xlfn.UNIQUE(_xlfn.HSTACK(INDEX(_xlpm.pairs,,1),INDEX(_xlpm.pairs,,4))),_xlpm.sortedPairs,_xlfn._xlws.SORT(_xlpm.uniquePairs,1,1),IF(ROW()-1&lt;=ROWS(_xlpm.sortedPairs),INDEX(_xlpm.sortedPairs,ROW()-1,1),"")),"")</f>
        <v/>
      </c>
      <c r="M288" s="15">
        <f t="array" ref="M288">IFERROR(_xlfn.LET(_xlpm.pairs,_xlfn._xlws.FILTER($A$2:$D$391,($A$2:$A$391&lt;&gt;"")*(TRIM($D$2:$D$391)&lt;&gt;"")),_xlpm.uniquePairs,_xlfn.UNIQUE(_xlfn.HSTACK(INDEX(_xlpm.pairs,,1),INDEX(_xlpm.pairs,,4))),_xlpm.sortedPairs,_xlfn._xlws.SORT(_xlpm.uniquePairs,1,1),IF(ROW()-1&lt;=ROWS(_xlpm.sortedPairs),INDEX(_xlpm.sortedPairs,ROW()-1,2),"")),"")</f>
        <v/>
      </c>
      <c r="N288" s="15">
        <f t="array" ref="N288">IF(OR(L288="",M288=""),"",IFERROR(INDEX($E$2:$E$391,MATCH(1,($A$2:$A$391=L288)*($D$2:$D$391=M288),0)),""))</f>
        <v/>
      </c>
      <c r="O288" s="69">
        <f>IF(OR(L288="",M288=""),"",SUMIFS($J$2:$J$391,$A$2:$A$391,L288,$D$2:$D$391,M288))</f>
        <v/>
      </c>
      <c r="P288" s="6" t="n"/>
    </row>
    <row r="289">
      <c r="A289" s="44" t="n"/>
      <c r="B289" s="44" t="inlineStr">
        <is>
          <t xml:space="preserve">Ext. B </t>
        </is>
      </c>
      <c r="C289" s="43" t="n"/>
      <c r="D289" s="43">
        <f>IF(C289="","",IFERROR(_xlfn.XLOOKUP(C289,HELPER!$A$2:$A$76,HELPER!$B$2:$B$76,""),D289))</f>
        <v/>
      </c>
      <c r="E289" s="43">
        <f>IFERROR(_xlfn.XLOOKUP(D289,HELPER!$B:$B,HELPER!$C:$C,""),"")</f>
        <v/>
      </c>
      <c r="F289" s="42">
        <f>IFERROR(_xlfn.XLOOKUP(D289,HELPER!$B:$B,HELPER!$D:$D,""),"")</f>
        <v/>
      </c>
      <c r="G289" s="42" t="n">
        <v>24</v>
      </c>
      <c r="H289" s="556" t="n"/>
      <c r="I289" s="72">
        <f>IF(AND(H289&lt;&gt;"",IFERROR(_xlfn.XLOOKUP(D289,HELPER!$B:$B,HELPER!$E:$E,""),"")=""),"Missing price",IFERROR(_xlfn.XLOOKUP(D289,HELPER!$B:$B,HELPER!$E:$E,"")," "))</f>
        <v/>
      </c>
      <c r="J289" s="72">
        <f>IFERROR(H289*(IF(G289=8,I289*HELPER!$G$2,BOM!I289*HELPER!$G$3))," ")</f>
        <v/>
      </c>
      <c r="K289" s="6" t="n"/>
      <c r="L289" s="14">
        <f t="array" ref="L289">IFERROR(_xlfn.LET(_xlpm.pairs,_xlfn._xlws.FILTER($A$2:$D$391,($A$2:$A$391&lt;&gt;"")*(TRIM($D$2:$D$391)&lt;&gt;"")),_xlpm.uniquePairs,_xlfn.UNIQUE(_xlfn.HSTACK(INDEX(_xlpm.pairs,,1),INDEX(_xlpm.pairs,,4))),_xlpm.sortedPairs,_xlfn._xlws.SORT(_xlpm.uniquePairs,1,1),IF(ROW()-1&lt;=ROWS(_xlpm.sortedPairs),INDEX(_xlpm.sortedPairs,ROW()-1,1),"")),"")</f>
        <v/>
      </c>
      <c r="M289" s="15">
        <f t="array" ref="M289">IFERROR(_xlfn.LET(_xlpm.pairs,_xlfn._xlws.FILTER($A$2:$D$391,($A$2:$A$391&lt;&gt;"")*(TRIM($D$2:$D$391)&lt;&gt;"")),_xlpm.uniquePairs,_xlfn.UNIQUE(_xlfn.HSTACK(INDEX(_xlpm.pairs,,1),INDEX(_xlpm.pairs,,4))),_xlpm.sortedPairs,_xlfn._xlws.SORT(_xlpm.uniquePairs,1,1),IF(ROW()-1&lt;=ROWS(_xlpm.sortedPairs),INDEX(_xlpm.sortedPairs,ROW()-1,2),"")),"")</f>
        <v/>
      </c>
      <c r="N289" s="15">
        <f t="array" ref="N289">IF(OR(L289="",M289=""),"",IFERROR(INDEX($E$2:$E$391,MATCH(1,($A$2:$A$391=L289)*($D$2:$D$391=M289),0)),""))</f>
        <v/>
      </c>
      <c r="O289" s="69">
        <f>IF(OR(L289="",M289=""),"",SUMIFS($J$2:$J$391,$A$2:$A$391,L289,$D$2:$D$391,M289))</f>
        <v/>
      </c>
      <c r="P289" s="6" t="n"/>
    </row>
    <row r="290">
      <c r="A290" s="44" t="n"/>
      <c r="B290" s="44" t="inlineStr">
        <is>
          <t xml:space="preserve">Ext. B </t>
        </is>
      </c>
      <c r="C290" s="43" t="n"/>
      <c r="D290" s="43">
        <f>IF(C290="","",IFERROR(_xlfn.XLOOKUP(C290,HELPER!$A$2:$A$76,HELPER!$B$2:$B$76,""),D290))</f>
        <v/>
      </c>
      <c r="E290" s="43">
        <f>IFERROR(_xlfn.XLOOKUP(D290,HELPER!$B:$B,HELPER!$C:$C,""),"")</f>
        <v/>
      </c>
      <c r="F290" s="42">
        <f>IFERROR(_xlfn.XLOOKUP(D290,HELPER!$B:$B,HELPER!$D:$D,""),"")</f>
        <v/>
      </c>
      <c r="G290" s="42" t="n">
        <v>24</v>
      </c>
      <c r="H290" s="556" t="n"/>
      <c r="I290" s="72">
        <f>IF(AND(H290&lt;&gt;"",IFERROR(_xlfn.XLOOKUP(D290,HELPER!$B:$B,HELPER!$E:$E,""),"")=""),"Missing price",IFERROR(_xlfn.XLOOKUP(D290,HELPER!$B:$B,HELPER!$E:$E,"")," "))</f>
        <v/>
      </c>
      <c r="J290" s="72">
        <f>IFERROR(H290*(IF(G290=8,I290*HELPER!$G$2,BOM!I290*HELPER!$G$3))," ")</f>
        <v/>
      </c>
      <c r="K290" s="6" t="n"/>
      <c r="L290" s="14">
        <f t="array" ref="L290">IFERROR(_xlfn.LET(_xlpm.pairs,_xlfn._xlws.FILTER($A$2:$D$391,($A$2:$A$391&lt;&gt;"")*(TRIM($D$2:$D$391)&lt;&gt;"")),_xlpm.uniquePairs,_xlfn.UNIQUE(_xlfn.HSTACK(INDEX(_xlpm.pairs,,1),INDEX(_xlpm.pairs,,4))),_xlpm.sortedPairs,_xlfn._xlws.SORT(_xlpm.uniquePairs,1,1),IF(ROW()-1&lt;=ROWS(_xlpm.sortedPairs),INDEX(_xlpm.sortedPairs,ROW()-1,1),"")),"")</f>
        <v/>
      </c>
      <c r="M290" s="15">
        <f t="array" ref="M290">IFERROR(_xlfn.LET(_xlpm.pairs,_xlfn._xlws.FILTER($A$2:$D$391,($A$2:$A$391&lt;&gt;"")*(TRIM($D$2:$D$391)&lt;&gt;"")),_xlpm.uniquePairs,_xlfn.UNIQUE(_xlfn.HSTACK(INDEX(_xlpm.pairs,,1),INDEX(_xlpm.pairs,,4))),_xlpm.sortedPairs,_xlfn._xlws.SORT(_xlpm.uniquePairs,1,1),IF(ROW()-1&lt;=ROWS(_xlpm.sortedPairs),INDEX(_xlpm.sortedPairs,ROW()-1,2),"")),"")</f>
        <v/>
      </c>
      <c r="N290" s="15">
        <f t="array" ref="N290">IF(OR(L290="",M290=""),"",IFERROR(INDEX($E$2:$E$391,MATCH(1,($A$2:$A$391=L290)*($D$2:$D$391=M290),0)),""))</f>
        <v/>
      </c>
      <c r="O290" s="69">
        <f>IF(OR(L290="",M290=""),"",SUMIFS($J$2:$J$391,$A$2:$A$391,L290,$D$2:$D$391,M290))</f>
        <v/>
      </c>
      <c r="P290" s="6" t="n"/>
    </row>
    <row r="291">
      <c r="A291" s="44" t="n"/>
      <c r="B291" s="44" t="inlineStr">
        <is>
          <t xml:space="preserve">Ext. B </t>
        </is>
      </c>
      <c r="C291" s="43" t="n"/>
      <c r="D291" s="43">
        <f>IF(C291="","",IFERROR(_xlfn.XLOOKUP(C291,HELPER!$A$2:$A$76,HELPER!$B$2:$B$76,""),D291))</f>
        <v/>
      </c>
      <c r="E291" s="43">
        <f>IFERROR(_xlfn.XLOOKUP(D291,HELPER!$B:$B,HELPER!$C:$C,""),"")</f>
        <v/>
      </c>
      <c r="F291" s="42">
        <f>IFERROR(_xlfn.XLOOKUP(D291,HELPER!$B:$B,HELPER!$D:$D,""),"")</f>
        <v/>
      </c>
      <c r="G291" s="42" t="n">
        <v>24</v>
      </c>
      <c r="H291" s="556" t="n"/>
      <c r="I291" s="72">
        <f>IF(AND(H291&lt;&gt;"",IFERROR(_xlfn.XLOOKUP(D291,HELPER!$B:$B,HELPER!$E:$E,""),"")=""),"Missing price",IFERROR(_xlfn.XLOOKUP(D291,HELPER!$B:$B,HELPER!$E:$E,"")," "))</f>
        <v/>
      </c>
      <c r="J291" s="72">
        <f>IFERROR(H291*(IF(G291=8,I291*HELPER!$G$2,BOM!I291*HELPER!$G$3))," ")</f>
        <v/>
      </c>
      <c r="K291" s="6" t="n"/>
      <c r="L291" s="14">
        <f t="array" ref="L291">IFERROR(_xlfn.LET(_xlpm.pairs,_xlfn._xlws.FILTER($A$2:$D$391,($A$2:$A$391&lt;&gt;"")*(TRIM($D$2:$D$391)&lt;&gt;"")),_xlpm.uniquePairs,_xlfn.UNIQUE(_xlfn.HSTACK(INDEX(_xlpm.pairs,,1),INDEX(_xlpm.pairs,,4))),_xlpm.sortedPairs,_xlfn._xlws.SORT(_xlpm.uniquePairs,1,1),IF(ROW()-1&lt;=ROWS(_xlpm.sortedPairs),INDEX(_xlpm.sortedPairs,ROW()-1,1),"")),"")</f>
        <v/>
      </c>
      <c r="M291" s="15">
        <f t="array" ref="M291">IFERROR(_xlfn.LET(_xlpm.pairs,_xlfn._xlws.FILTER($A$2:$D$391,($A$2:$A$391&lt;&gt;"")*(TRIM($D$2:$D$391)&lt;&gt;"")),_xlpm.uniquePairs,_xlfn.UNIQUE(_xlfn.HSTACK(INDEX(_xlpm.pairs,,1),INDEX(_xlpm.pairs,,4))),_xlpm.sortedPairs,_xlfn._xlws.SORT(_xlpm.uniquePairs,1,1),IF(ROW()-1&lt;=ROWS(_xlpm.sortedPairs),INDEX(_xlpm.sortedPairs,ROW()-1,2),"")),"")</f>
        <v/>
      </c>
      <c r="N291" s="15">
        <f t="array" ref="N291">IF(OR(L291="",M291=""),"",IFERROR(INDEX($E$2:$E$391,MATCH(1,($A$2:$A$391=L291)*($D$2:$D$391=M291),0)),""))</f>
        <v/>
      </c>
      <c r="O291" s="69">
        <f>IF(OR(L291="",M291=""),"",SUMIFS($J$2:$J$391,$A$2:$A$391,L291,$D$2:$D$391,M291))</f>
        <v/>
      </c>
      <c r="P291" s="6" t="n"/>
    </row>
    <row r="292">
      <c r="A292" s="44" t="n"/>
      <c r="B292" s="44" t="inlineStr">
        <is>
          <t>Ext. C (In)</t>
        </is>
      </c>
      <c r="C292" s="43" t="n"/>
      <c r="D292" s="43">
        <f>IF(C292="","",IFERROR(_xlfn.XLOOKUP(C292,HELPER!$A$2:$A$76,HELPER!$B$2:$B$76,""),D292))</f>
        <v/>
      </c>
      <c r="E292" s="43">
        <f>IFERROR(_xlfn.XLOOKUP(D292,HELPER!$B:$B,HELPER!$C:$C,""),"")</f>
        <v/>
      </c>
      <c r="F292" s="42">
        <f>IFERROR(_xlfn.XLOOKUP(D292,HELPER!$B:$B,HELPER!$D:$D,""),"")</f>
        <v/>
      </c>
      <c r="G292" s="42" t="n">
        <v>8</v>
      </c>
      <c r="H292" s="556" t="n"/>
      <c r="I292" s="72">
        <f>IF(AND(H292&lt;&gt;"",IFERROR(_xlfn.XLOOKUP(D292,HELPER!$B:$B,HELPER!$E:$E,""),"")=""),"Missing price",IFERROR(_xlfn.XLOOKUP(D292,HELPER!$B:$B,HELPER!$E:$E,"")," "))</f>
        <v/>
      </c>
      <c r="J292" s="72">
        <f>IFERROR(H292*(IF(G292=8,I292*HELPER!$G$2,BOM!I292*HELPER!$G$3))," ")</f>
        <v/>
      </c>
      <c r="K292" s="6" t="n"/>
      <c r="L292" s="14">
        <f t="array" ref="L292">IFERROR(_xlfn.LET(_xlpm.pairs,_xlfn._xlws.FILTER($A$2:$D$391,($A$2:$A$391&lt;&gt;"")*(TRIM($D$2:$D$391)&lt;&gt;"")),_xlpm.uniquePairs,_xlfn.UNIQUE(_xlfn.HSTACK(INDEX(_xlpm.pairs,,1),INDEX(_xlpm.pairs,,4))),_xlpm.sortedPairs,_xlfn._xlws.SORT(_xlpm.uniquePairs,1,1),IF(ROW()-1&lt;=ROWS(_xlpm.sortedPairs),INDEX(_xlpm.sortedPairs,ROW()-1,1),"")),"")</f>
        <v/>
      </c>
      <c r="M292" s="15">
        <f t="array" ref="M292">IFERROR(_xlfn.LET(_xlpm.pairs,_xlfn._xlws.FILTER($A$2:$D$391,($A$2:$A$391&lt;&gt;"")*(TRIM($D$2:$D$391)&lt;&gt;"")),_xlpm.uniquePairs,_xlfn.UNIQUE(_xlfn.HSTACK(INDEX(_xlpm.pairs,,1),INDEX(_xlpm.pairs,,4))),_xlpm.sortedPairs,_xlfn._xlws.SORT(_xlpm.uniquePairs,1,1),IF(ROW()-1&lt;=ROWS(_xlpm.sortedPairs),INDEX(_xlpm.sortedPairs,ROW()-1,2),"")),"")</f>
        <v/>
      </c>
      <c r="N292" s="15">
        <f t="array" ref="N292">IF(OR(L292="",M292=""),"",IFERROR(INDEX($E$2:$E$391,MATCH(1,($A$2:$A$391=L292)*($D$2:$D$391=M292),0)),""))</f>
        <v/>
      </c>
      <c r="O292" s="69">
        <f>IF(OR(L292="",M292=""),"",SUMIFS($J$2:$J$391,$A$2:$A$391,L292,$D$2:$D$391,M292))</f>
        <v/>
      </c>
      <c r="P292" s="6" t="n"/>
    </row>
    <row r="293">
      <c r="A293" s="44" t="n"/>
      <c r="B293" s="44" t="inlineStr">
        <is>
          <t>Ext. C (In)</t>
        </is>
      </c>
      <c r="C293" s="43" t="n"/>
      <c r="D293" s="43">
        <f>IF(C293="","",IFERROR(_xlfn.XLOOKUP(C293,HELPER!$A$2:$A$76,HELPER!$B$2:$B$76,""),D293))</f>
        <v/>
      </c>
      <c r="E293" s="43">
        <f>IFERROR(_xlfn.XLOOKUP(D293,HELPER!$B:$B,HELPER!$C:$C,""),"")</f>
        <v/>
      </c>
      <c r="F293" s="42">
        <f>IFERROR(_xlfn.XLOOKUP(D293,HELPER!$B:$B,HELPER!$D:$D,""),"")</f>
        <v/>
      </c>
      <c r="G293" s="42" t="n">
        <v>8</v>
      </c>
      <c r="H293" s="556" t="n"/>
      <c r="I293" s="72">
        <f>IF(AND(H293&lt;&gt;"",IFERROR(_xlfn.XLOOKUP(D293,HELPER!$B:$B,HELPER!$E:$E,""),"")=""),"Missing price",IFERROR(_xlfn.XLOOKUP(D293,HELPER!$B:$B,HELPER!$E:$E,"")," "))</f>
        <v/>
      </c>
      <c r="J293" s="72">
        <f>IFERROR(H293*(IF(G293=8,I293*HELPER!$G$2,BOM!I293*HELPER!$G$3))," ")</f>
        <v/>
      </c>
      <c r="K293" s="6" t="n"/>
      <c r="L293" s="14">
        <f t="array" ref="L293">IFERROR(_xlfn.LET(_xlpm.pairs,_xlfn._xlws.FILTER($A$2:$D$391,($A$2:$A$391&lt;&gt;"")*(TRIM($D$2:$D$391)&lt;&gt;"")),_xlpm.uniquePairs,_xlfn.UNIQUE(_xlfn.HSTACK(INDEX(_xlpm.pairs,,1),INDEX(_xlpm.pairs,,4))),_xlpm.sortedPairs,_xlfn._xlws.SORT(_xlpm.uniquePairs,1,1),IF(ROW()-1&lt;=ROWS(_xlpm.sortedPairs),INDEX(_xlpm.sortedPairs,ROW()-1,1),"")),"")</f>
        <v/>
      </c>
      <c r="M293" s="15">
        <f t="array" ref="M293">IFERROR(_xlfn.LET(_xlpm.pairs,_xlfn._xlws.FILTER($A$2:$D$391,($A$2:$A$391&lt;&gt;"")*(TRIM($D$2:$D$391)&lt;&gt;"")),_xlpm.uniquePairs,_xlfn.UNIQUE(_xlfn.HSTACK(INDEX(_xlpm.pairs,,1),INDEX(_xlpm.pairs,,4))),_xlpm.sortedPairs,_xlfn._xlws.SORT(_xlpm.uniquePairs,1,1),IF(ROW()-1&lt;=ROWS(_xlpm.sortedPairs),INDEX(_xlpm.sortedPairs,ROW()-1,2),"")),"")</f>
        <v/>
      </c>
      <c r="N293" s="15">
        <f t="array" ref="N293">IF(OR(L293="",M293=""),"",IFERROR(INDEX($E$2:$E$391,MATCH(1,($A$2:$A$391=L293)*($D$2:$D$391=M293),0)),""))</f>
        <v/>
      </c>
      <c r="O293" s="69">
        <f>IF(OR(L293="",M293=""),"",SUMIFS($J$2:$J$391,$A$2:$A$391,L293,$D$2:$D$391,M293))</f>
        <v/>
      </c>
      <c r="P293" s="6" t="n"/>
    </row>
    <row r="294">
      <c r="A294" s="44" t="n"/>
      <c r="B294" s="44" t="inlineStr">
        <is>
          <t>Ext. C (In)</t>
        </is>
      </c>
      <c r="C294" s="43" t="n"/>
      <c r="D294" s="43">
        <f>IF(C294="","",IFERROR(_xlfn.XLOOKUP(C294,HELPER!$A$2:$A$76,HELPER!$B$2:$B$76,""),D294))</f>
        <v/>
      </c>
      <c r="E294" s="43">
        <f>IFERROR(_xlfn.XLOOKUP(D294,HELPER!$B:$B,HELPER!$C:$C,""),"")</f>
        <v/>
      </c>
      <c r="F294" s="42">
        <f>IFERROR(_xlfn.XLOOKUP(D294,HELPER!$B:$B,HELPER!$D:$D,""),"")</f>
        <v/>
      </c>
      <c r="G294" s="42" t="n">
        <v>8</v>
      </c>
      <c r="H294" s="556" t="n"/>
      <c r="I294" s="72">
        <f>IF(AND(H294&lt;&gt;"",IFERROR(_xlfn.XLOOKUP(D294,HELPER!$B:$B,HELPER!$E:$E,""),"")=""),"Missing price",IFERROR(_xlfn.XLOOKUP(D294,HELPER!$B:$B,HELPER!$E:$E,"")," "))</f>
        <v/>
      </c>
      <c r="J294" s="72">
        <f>IFERROR(H294*(IF(G294=8,I294*HELPER!$G$2,BOM!I294*HELPER!$G$3))," ")</f>
        <v/>
      </c>
      <c r="K294" s="6" t="n"/>
      <c r="L294" s="14">
        <f t="array" ref="L294">IFERROR(_xlfn.LET(_xlpm.pairs,_xlfn._xlws.FILTER($A$2:$D$391,($A$2:$A$391&lt;&gt;"")*(TRIM($D$2:$D$391)&lt;&gt;"")),_xlpm.uniquePairs,_xlfn.UNIQUE(_xlfn.HSTACK(INDEX(_xlpm.pairs,,1),INDEX(_xlpm.pairs,,4))),_xlpm.sortedPairs,_xlfn._xlws.SORT(_xlpm.uniquePairs,1,1),IF(ROW()-1&lt;=ROWS(_xlpm.sortedPairs),INDEX(_xlpm.sortedPairs,ROW()-1,1),"")),"")</f>
        <v/>
      </c>
      <c r="M294" s="15">
        <f t="array" ref="M294">IFERROR(_xlfn.LET(_xlpm.pairs,_xlfn._xlws.FILTER($A$2:$D$391,($A$2:$A$391&lt;&gt;"")*(TRIM($D$2:$D$391)&lt;&gt;"")),_xlpm.uniquePairs,_xlfn.UNIQUE(_xlfn.HSTACK(INDEX(_xlpm.pairs,,1),INDEX(_xlpm.pairs,,4))),_xlpm.sortedPairs,_xlfn._xlws.SORT(_xlpm.uniquePairs,1,1),IF(ROW()-1&lt;=ROWS(_xlpm.sortedPairs),INDEX(_xlpm.sortedPairs,ROW()-1,2),"")),"")</f>
        <v/>
      </c>
      <c r="N294" s="15">
        <f t="array" ref="N294">IF(OR(L294="",M294=""),"",IFERROR(INDEX($E$2:$E$391,MATCH(1,($A$2:$A$391=L294)*($D$2:$D$391=M294),0)),""))</f>
        <v/>
      </c>
      <c r="O294" s="69">
        <f>IF(OR(L294="",M294=""),"",SUMIFS($J$2:$J$391,$A$2:$A$391,L294,$D$2:$D$391,M294))</f>
        <v/>
      </c>
      <c r="P294" s="6" t="n"/>
    </row>
    <row r="295">
      <c r="A295" s="44" t="n"/>
      <c r="B295" s="44" t="inlineStr">
        <is>
          <t>Ext. C (In)</t>
        </is>
      </c>
      <c r="C295" s="43" t="n"/>
      <c r="D295" s="43">
        <f>IF(C295="","",IFERROR(_xlfn.XLOOKUP(C295,HELPER!$A$2:$A$76,HELPER!$B$2:$B$76,""),D295))</f>
        <v/>
      </c>
      <c r="E295" s="43">
        <f>IFERROR(_xlfn.XLOOKUP(D295,HELPER!$B:$B,HELPER!$C:$C,""),"")</f>
        <v/>
      </c>
      <c r="F295" s="42">
        <f>IFERROR(_xlfn.XLOOKUP(D295,HELPER!$B:$B,HELPER!$D:$D,""),"")</f>
        <v/>
      </c>
      <c r="G295" s="42" t="n">
        <v>8</v>
      </c>
      <c r="H295" s="556" t="n"/>
      <c r="I295" s="72">
        <f>IF(AND(H295&lt;&gt;"",IFERROR(_xlfn.XLOOKUP(D295,HELPER!$B:$B,HELPER!$E:$E,""),"")=""),"Missing price",IFERROR(_xlfn.XLOOKUP(D295,HELPER!$B:$B,HELPER!$E:$E,"")," "))</f>
        <v/>
      </c>
      <c r="J295" s="72">
        <f>IFERROR(H295*(IF(G295=8,I295*HELPER!$G$2,BOM!I295*HELPER!$G$3))," ")</f>
        <v/>
      </c>
      <c r="K295" s="6" t="n"/>
      <c r="L295" s="14">
        <f t="array" ref="L295">IFERROR(_xlfn.LET(_xlpm.pairs,_xlfn._xlws.FILTER($A$2:$D$391,($A$2:$A$391&lt;&gt;"")*(TRIM($D$2:$D$391)&lt;&gt;"")),_xlpm.uniquePairs,_xlfn.UNIQUE(_xlfn.HSTACK(INDEX(_xlpm.pairs,,1),INDEX(_xlpm.pairs,,4))),_xlpm.sortedPairs,_xlfn._xlws.SORT(_xlpm.uniquePairs,1,1),IF(ROW()-1&lt;=ROWS(_xlpm.sortedPairs),INDEX(_xlpm.sortedPairs,ROW()-1,1),"")),"")</f>
        <v/>
      </c>
      <c r="M295" s="15">
        <f t="array" ref="M295">IFERROR(_xlfn.LET(_xlpm.pairs,_xlfn._xlws.FILTER($A$2:$D$391,($A$2:$A$391&lt;&gt;"")*(TRIM($D$2:$D$391)&lt;&gt;"")),_xlpm.uniquePairs,_xlfn.UNIQUE(_xlfn.HSTACK(INDEX(_xlpm.pairs,,1),INDEX(_xlpm.pairs,,4))),_xlpm.sortedPairs,_xlfn._xlws.SORT(_xlpm.uniquePairs,1,1),IF(ROW()-1&lt;=ROWS(_xlpm.sortedPairs),INDEX(_xlpm.sortedPairs,ROW()-1,2),"")),"")</f>
        <v/>
      </c>
      <c r="N295" s="15">
        <f t="array" ref="N295">IF(OR(L295="",M295=""),"",IFERROR(INDEX($E$2:$E$391,MATCH(1,($A$2:$A$391=L295)*($D$2:$D$391=M295),0)),""))</f>
        <v/>
      </c>
      <c r="O295" s="69">
        <f>IF(OR(L295="",M295=""),"",SUMIFS($J$2:$J$391,$A$2:$A$391,L295,$D$2:$D$391,M295))</f>
        <v/>
      </c>
      <c r="P295" s="6" t="n"/>
    </row>
    <row r="296">
      <c r="A296" s="44" t="n"/>
      <c r="B296" s="44" t="inlineStr">
        <is>
          <t>Ext. C (In)</t>
        </is>
      </c>
      <c r="C296" s="43" t="n"/>
      <c r="D296" s="43">
        <f>IF(C296="","",IFERROR(_xlfn.XLOOKUP(C296,HELPER!$A$2:$A$76,HELPER!$B$2:$B$76,""),D296))</f>
        <v/>
      </c>
      <c r="E296" s="43">
        <f>IFERROR(_xlfn.XLOOKUP(D296,HELPER!$B:$B,HELPER!$C:$C,""),"")</f>
        <v/>
      </c>
      <c r="F296" s="42">
        <f>IFERROR(_xlfn.XLOOKUP(D296,HELPER!$B:$B,HELPER!$D:$D,""),"")</f>
        <v/>
      </c>
      <c r="G296" s="42" t="n">
        <v>8</v>
      </c>
      <c r="H296" s="556" t="n"/>
      <c r="I296" s="72">
        <f>IF(AND(H296&lt;&gt;"",IFERROR(_xlfn.XLOOKUP(D296,HELPER!$B:$B,HELPER!$E:$E,""),"")=""),"Missing price",IFERROR(_xlfn.XLOOKUP(D296,HELPER!$B:$B,HELPER!$E:$E,"")," "))</f>
        <v/>
      </c>
      <c r="J296" s="72">
        <f>IFERROR(H296*(IF(G296=8,I296*HELPER!$G$2,BOM!I296*HELPER!$G$3))," ")</f>
        <v/>
      </c>
      <c r="K296" s="6" t="n"/>
      <c r="L296" s="14">
        <f t="array" ref="L296">IFERROR(_xlfn.LET(_xlpm.pairs,_xlfn._xlws.FILTER($A$2:$D$391,($A$2:$A$391&lt;&gt;"")*(TRIM($D$2:$D$391)&lt;&gt;"")),_xlpm.uniquePairs,_xlfn.UNIQUE(_xlfn.HSTACK(INDEX(_xlpm.pairs,,1),INDEX(_xlpm.pairs,,4))),_xlpm.sortedPairs,_xlfn._xlws.SORT(_xlpm.uniquePairs,1,1),IF(ROW()-1&lt;=ROWS(_xlpm.sortedPairs),INDEX(_xlpm.sortedPairs,ROW()-1,1),"")),"")</f>
        <v/>
      </c>
      <c r="M296" s="15">
        <f t="array" ref="M296">IFERROR(_xlfn.LET(_xlpm.pairs,_xlfn._xlws.FILTER($A$2:$D$391,($A$2:$A$391&lt;&gt;"")*(TRIM($D$2:$D$391)&lt;&gt;"")),_xlpm.uniquePairs,_xlfn.UNIQUE(_xlfn.HSTACK(INDEX(_xlpm.pairs,,1),INDEX(_xlpm.pairs,,4))),_xlpm.sortedPairs,_xlfn._xlws.SORT(_xlpm.uniquePairs,1,1),IF(ROW()-1&lt;=ROWS(_xlpm.sortedPairs),INDEX(_xlpm.sortedPairs,ROW()-1,2),"")),"")</f>
        <v/>
      </c>
      <c r="N296" s="15">
        <f t="array" ref="N296">IF(OR(L296="",M296=""),"",IFERROR(INDEX($E$2:$E$391,MATCH(1,($A$2:$A$391=L296)*($D$2:$D$391=M296),0)),""))</f>
        <v/>
      </c>
      <c r="O296" s="69">
        <f>IF(OR(L296="",M296=""),"",SUMIFS($J$2:$J$391,$A$2:$A$391,L296,$D$2:$D$391,M296))</f>
        <v/>
      </c>
      <c r="P296" s="6" t="n"/>
    </row>
    <row r="297">
      <c r="A297" s="44" t="n"/>
      <c r="B297" s="44" t="inlineStr">
        <is>
          <t>Ext. C (In)</t>
        </is>
      </c>
      <c r="C297" s="43" t="n"/>
      <c r="D297" s="43">
        <f>IF(C297="","",IFERROR(_xlfn.XLOOKUP(C297,HELPER!$A$2:$A$76,HELPER!$B$2:$B$76,""),D297))</f>
        <v/>
      </c>
      <c r="E297" s="43">
        <f>IFERROR(_xlfn.XLOOKUP(D297,HELPER!$B:$B,HELPER!$C:$C,""),"")</f>
        <v/>
      </c>
      <c r="F297" s="42">
        <f>IFERROR(_xlfn.XLOOKUP(D297,HELPER!$B:$B,HELPER!$D:$D,""),"")</f>
        <v/>
      </c>
      <c r="G297" s="42" t="n">
        <v>8</v>
      </c>
      <c r="H297" s="556" t="n"/>
      <c r="I297" s="72">
        <f>IF(AND(H297&lt;&gt;"",IFERROR(_xlfn.XLOOKUP(D297,HELPER!$B:$B,HELPER!$E:$E,""),"")=""),"Missing price",IFERROR(_xlfn.XLOOKUP(D297,HELPER!$B:$B,HELPER!$E:$E,"")," "))</f>
        <v/>
      </c>
      <c r="J297" s="72">
        <f>IFERROR(H297*(IF(G297=8,I297*HELPER!$G$2,BOM!I297*HELPER!$G$3))," ")</f>
        <v/>
      </c>
      <c r="K297" s="6" t="n"/>
      <c r="L297" s="14">
        <f t="array" ref="L297">IFERROR(_xlfn.LET(_xlpm.pairs,_xlfn._xlws.FILTER($A$2:$D$391,($A$2:$A$391&lt;&gt;"")*(TRIM($D$2:$D$391)&lt;&gt;"")),_xlpm.uniquePairs,_xlfn.UNIQUE(_xlfn.HSTACK(INDEX(_xlpm.pairs,,1),INDEX(_xlpm.pairs,,4))),_xlpm.sortedPairs,_xlfn._xlws.SORT(_xlpm.uniquePairs,1,1),IF(ROW()-1&lt;=ROWS(_xlpm.sortedPairs),INDEX(_xlpm.sortedPairs,ROW()-1,1),"")),"")</f>
        <v/>
      </c>
      <c r="M297" s="15">
        <f t="array" ref="M297">IFERROR(_xlfn.LET(_xlpm.pairs,_xlfn._xlws.FILTER($A$2:$D$391,($A$2:$A$391&lt;&gt;"")*(TRIM($D$2:$D$391)&lt;&gt;"")),_xlpm.uniquePairs,_xlfn.UNIQUE(_xlfn.HSTACK(INDEX(_xlpm.pairs,,1),INDEX(_xlpm.pairs,,4))),_xlpm.sortedPairs,_xlfn._xlws.SORT(_xlpm.uniquePairs,1,1),IF(ROW()-1&lt;=ROWS(_xlpm.sortedPairs),INDEX(_xlpm.sortedPairs,ROW()-1,2),"")),"")</f>
        <v/>
      </c>
      <c r="N297" s="15">
        <f t="array" ref="N297">IF(OR(L297="",M297=""),"",IFERROR(INDEX($E$2:$E$391,MATCH(1,($A$2:$A$391=L297)*($D$2:$D$391=M297),0)),""))</f>
        <v/>
      </c>
      <c r="O297" s="69">
        <f>IF(OR(L297="",M297=""),"",SUMIFS($J$2:$J$391,$A$2:$A$391,L297,$D$2:$D$391,M297))</f>
        <v/>
      </c>
      <c r="P297" s="6" t="n"/>
    </row>
    <row r="298">
      <c r="A298" s="44" t="n"/>
      <c r="B298" s="44" t="inlineStr">
        <is>
          <t>Ext. C (In)</t>
        </is>
      </c>
      <c r="C298" s="43" t="n"/>
      <c r="D298" s="43">
        <f>IF(C298="","",IFERROR(_xlfn.XLOOKUP(C298,HELPER!$A$2:$A$76,HELPER!$B$2:$B$76,""),D298))</f>
        <v/>
      </c>
      <c r="E298" s="43">
        <f>IFERROR(_xlfn.XLOOKUP(D298,HELPER!$B:$B,HELPER!$C:$C,""),"")</f>
        <v/>
      </c>
      <c r="F298" s="42">
        <f>IFERROR(_xlfn.XLOOKUP(D298,HELPER!$B:$B,HELPER!$D:$D,""),"")</f>
        <v/>
      </c>
      <c r="G298" s="42" t="n">
        <v>8</v>
      </c>
      <c r="H298" s="556" t="n"/>
      <c r="I298" s="72">
        <f>IF(AND(H298&lt;&gt;"",IFERROR(_xlfn.XLOOKUP(D298,HELPER!$B:$B,HELPER!$E:$E,""),"")=""),"Missing price",IFERROR(_xlfn.XLOOKUP(D298,HELPER!$B:$B,HELPER!$E:$E,"")," "))</f>
        <v/>
      </c>
      <c r="J298" s="72">
        <f>IFERROR(H298*(IF(G298=8,I298*HELPER!$G$2,BOM!I298*HELPER!$G$3))," ")</f>
        <v/>
      </c>
      <c r="K298" s="6" t="n"/>
      <c r="L298" s="14">
        <f t="array" ref="L298">IFERROR(_xlfn.LET(_xlpm.pairs,_xlfn._xlws.FILTER($A$2:$D$391,($A$2:$A$391&lt;&gt;"")*(TRIM($D$2:$D$391)&lt;&gt;"")),_xlpm.uniquePairs,_xlfn.UNIQUE(_xlfn.HSTACK(INDEX(_xlpm.pairs,,1),INDEX(_xlpm.pairs,,4))),_xlpm.sortedPairs,_xlfn._xlws.SORT(_xlpm.uniquePairs,1,1),IF(ROW()-1&lt;=ROWS(_xlpm.sortedPairs),INDEX(_xlpm.sortedPairs,ROW()-1,1),"")),"")</f>
        <v/>
      </c>
      <c r="M298" s="15">
        <f t="array" ref="M298">IFERROR(_xlfn.LET(_xlpm.pairs,_xlfn._xlws.FILTER($A$2:$D$391,($A$2:$A$391&lt;&gt;"")*(TRIM($D$2:$D$391)&lt;&gt;"")),_xlpm.uniquePairs,_xlfn.UNIQUE(_xlfn.HSTACK(INDEX(_xlpm.pairs,,1),INDEX(_xlpm.pairs,,4))),_xlpm.sortedPairs,_xlfn._xlws.SORT(_xlpm.uniquePairs,1,1),IF(ROW()-1&lt;=ROWS(_xlpm.sortedPairs),INDEX(_xlpm.sortedPairs,ROW()-1,2),"")),"")</f>
        <v/>
      </c>
      <c r="N298" s="15">
        <f t="array" ref="N298">IF(OR(L298="",M298=""),"",IFERROR(INDEX($E$2:$E$391,MATCH(1,($A$2:$A$391=L298)*($D$2:$D$391=M298),0)),""))</f>
        <v/>
      </c>
      <c r="O298" s="69">
        <f>IF(OR(L298="",M298=""),"",SUMIFS($J$2:$J$391,$A$2:$A$391,L298,$D$2:$D$391,M298))</f>
        <v/>
      </c>
      <c r="P298" s="6" t="n"/>
    </row>
    <row r="299">
      <c r="A299" s="44" t="n"/>
      <c r="B299" s="44" t="inlineStr">
        <is>
          <t>Ext. C (In)</t>
        </is>
      </c>
      <c r="C299" s="43" t="n"/>
      <c r="D299" s="43">
        <f>IF(C299="","",IFERROR(_xlfn.XLOOKUP(C299,HELPER!$A$2:$A$76,HELPER!$B$2:$B$76,""),D299))</f>
        <v/>
      </c>
      <c r="E299" s="43">
        <f>IFERROR(_xlfn.XLOOKUP(D299,HELPER!$B:$B,HELPER!$C:$C,""),"")</f>
        <v/>
      </c>
      <c r="F299" s="42">
        <f>IFERROR(_xlfn.XLOOKUP(D299,HELPER!$B:$B,HELPER!$D:$D,""),"")</f>
        <v/>
      </c>
      <c r="G299" s="42" t="n">
        <v>8</v>
      </c>
      <c r="H299" s="556" t="n"/>
      <c r="I299" s="72">
        <f>IF(AND(H299&lt;&gt;"",IFERROR(_xlfn.XLOOKUP(D299,HELPER!$B:$B,HELPER!$E:$E,""),"")=""),"Missing price",IFERROR(_xlfn.XLOOKUP(D299,HELPER!$B:$B,HELPER!$E:$E,"")," "))</f>
        <v/>
      </c>
      <c r="J299" s="72">
        <f>IFERROR(H299*(IF(G299=8,I299*HELPER!$G$2,BOM!I299*HELPER!$G$3))," ")</f>
        <v/>
      </c>
      <c r="K299" s="6" t="n"/>
      <c r="L299" s="14">
        <f t="array" ref="L299">IFERROR(_xlfn.LET(_xlpm.pairs,_xlfn._xlws.FILTER($A$2:$D$391,($A$2:$A$391&lt;&gt;"")*(TRIM($D$2:$D$391)&lt;&gt;"")),_xlpm.uniquePairs,_xlfn.UNIQUE(_xlfn.HSTACK(INDEX(_xlpm.pairs,,1),INDEX(_xlpm.pairs,,4))),_xlpm.sortedPairs,_xlfn._xlws.SORT(_xlpm.uniquePairs,1,1),IF(ROW()-1&lt;=ROWS(_xlpm.sortedPairs),INDEX(_xlpm.sortedPairs,ROW()-1,1),"")),"")</f>
        <v/>
      </c>
      <c r="M299" s="15">
        <f t="array" ref="M299">IFERROR(_xlfn.LET(_xlpm.pairs,_xlfn._xlws.FILTER($A$2:$D$391,($A$2:$A$391&lt;&gt;"")*(TRIM($D$2:$D$391)&lt;&gt;"")),_xlpm.uniquePairs,_xlfn.UNIQUE(_xlfn.HSTACK(INDEX(_xlpm.pairs,,1),INDEX(_xlpm.pairs,,4))),_xlpm.sortedPairs,_xlfn._xlws.SORT(_xlpm.uniquePairs,1,1),IF(ROW()-1&lt;=ROWS(_xlpm.sortedPairs),INDEX(_xlpm.sortedPairs,ROW()-1,2),"")),"")</f>
        <v/>
      </c>
      <c r="N299" s="15">
        <f t="array" ref="N299">IF(OR(L299="",M299=""),"",IFERROR(INDEX($E$2:$E$391,MATCH(1,($A$2:$A$391=L299)*($D$2:$D$391=M299),0)),""))</f>
        <v/>
      </c>
      <c r="O299" s="69">
        <f>IF(OR(L299="",M299=""),"",SUMIFS($J$2:$J$391,$A$2:$A$391,L299,$D$2:$D$391,M299))</f>
        <v/>
      </c>
      <c r="P299" s="6" t="n"/>
    </row>
    <row r="300">
      <c r="A300" s="44" t="n"/>
      <c r="B300" s="44" t="inlineStr">
        <is>
          <t>Ext. C (In)</t>
        </is>
      </c>
      <c r="C300" s="43" t="n"/>
      <c r="D300" s="43">
        <f>IF(C300="","",IFERROR(_xlfn.XLOOKUP(C300,HELPER!$A$2:$A$76,HELPER!$B$2:$B$76,""),D300))</f>
        <v/>
      </c>
      <c r="E300" s="43">
        <f>IFERROR(_xlfn.XLOOKUP(D300,HELPER!$B:$B,HELPER!$C:$C,""),"")</f>
        <v/>
      </c>
      <c r="F300" s="42">
        <f>IFERROR(_xlfn.XLOOKUP(D300,HELPER!$B:$B,HELPER!$D:$D,""),"")</f>
        <v/>
      </c>
      <c r="G300" s="42" t="n">
        <v>8</v>
      </c>
      <c r="H300" s="556" t="n"/>
      <c r="I300" s="72">
        <f>IF(AND(H300&lt;&gt;"",IFERROR(_xlfn.XLOOKUP(D300,HELPER!$B:$B,HELPER!$E:$E,""),"")=""),"Missing price",IFERROR(_xlfn.XLOOKUP(D300,HELPER!$B:$B,HELPER!$E:$E,"")," "))</f>
        <v/>
      </c>
      <c r="J300" s="72">
        <f>IFERROR(H300*(IF(G300=8,I300*HELPER!$G$2,BOM!I300*HELPER!$G$3))," ")</f>
        <v/>
      </c>
      <c r="K300" s="6" t="n"/>
      <c r="L300" s="14">
        <f t="array" ref="L300">IFERROR(_xlfn.LET(_xlpm.pairs,_xlfn._xlws.FILTER($A$2:$D$391,($A$2:$A$391&lt;&gt;"")*(TRIM($D$2:$D$391)&lt;&gt;"")),_xlpm.uniquePairs,_xlfn.UNIQUE(_xlfn.HSTACK(INDEX(_xlpm.pairs,,1),INDEX(_xlpm.pairs,,4))),_xlpm.sortedPairs,_xlfn._xlws.SORT(_xlpm.uniquePairs,1,1),IF(ROW()-1&lt;=ROWS(_xlpm.sortedPairs),INDEX(_xlpm.sortedPairs,ROW()-1,1),"")),"")</f>
        <v/>
      </c>
      <c r="M300" s="15">
        <f t="array" ref="M300">IFERROR(_xlfn.LET(_xlpm.pairs,_xlfn._xlws.FILTER($A$2:$D$391,($A$2:$A$391&lt;&gt;"")*(TRIM($D$2:$D$391)&lt;&gt;"")),_xlpm.uniquePairs,_xlfn.UNIQUE(_xlfn.HSTACK(INDEX(_xlpm.pairs,,1),INDEX(_xlpm.pairs,,4))),_xlpm.sortedPairs,_xlfn._xlws.SORT(_xlpm.uniquePairs,1,1),IF(ROW()-1&lt;=ROWS(_xlpm.sortedPairs),INDEX(_xlpm.sortedPairs,ROW()-1,2),"")),"")</f>
        <v/>
      </c>
      <c r="N300" s="15">
        <f t="array" ref="N300">IF(OR(L300="",M300=""),"",IFERROR(INDEX($E$2:$E$391,MATCH(1,($A$2:$A$391=L300)*($D$2:$D$391=M300),0)),""))</f>
        <v/>
      </c>
      <c r="O300" s="69">
        <f>IF(OR(L300="",M300=""),"",SUMIFS($J$2:$J$391,$A$2:$A$391,L300,$D$2:$D$391,M300))</f>
        <v/>
      </c>
      <c r="P300" s="6" t="n"/>
    </row>
    <row r="301">
      <c r="A301" s="44" t="n"/>
      <c r="B301" s="44" t="inlineStr">
        <is>
          <t>Ext. C (In)</t>
        </is>
      </c>
      <c r="C301" s="43" t="n"/>
      <c r="D301" s="43">
        <f>IF(C301="","",IFERROR(_xlfn.XLOOKUP(C301,HELPER!$A$2:$A$76,HELPER!$B$2:$B$76,""),D301))</f>
        <v/>
      </c>
      <c r="E301" s="43">
        <f>IFERROR(_xlfn.XLOOKUP(D301,HELPER!$B:$B,HELPER!$C:$C,""),"")</f>
        <v/>
      </c>
      <c r="F301" s="42">
        <f>IFERROR(_xlfn.XLOOKUP(D301,HELPER!$B:$B,HELPER!$D:$D,""),"")</f>
        <v/>
      </c>
      <c r="G301" s="42" t="n">
        <v>8</v>
      </c>
      <c r="H301" s="556" t="n"/>
      <c r="I301" s="72">
        <f>IF(AND(H301&lt;&gt;"",IFERROR(_xlfn.XLOOKUP(D301,HELPER!$B:$B,HELPER!$E:$E,""),"")=""),"Missing price",IFERROR(_xlfn.XLOOKUP(D301,HELPER!$B:$B,HELPER!$E:$E,"")," "))</f>
        <v/>
      </c>
      <c r="J301" s="72">
        <f>IFERROR(H301*(IF(G301=8,I301*HELPER!$G$2,BOM!I301*HELPER!$G$3))," ")</f>
        <v/>
      </c>
      <c r="K301" s="6" t="n"/>
      <c r="L301" s="14">
        <f t="array" ref="L301">IFERROR(_xlfn.LET(_xlpm.pairs,_xlfn._xlws.FILTER($A$2:$D$391,($A$2:$A$391&lt;&gt;"")*(TRIM($D$2:$D$391)&lt;&gt;"")),_xlpm.uniquePairs,_xlfn.UNIQUE(_xlfn.HSTACK(INDEX(_xlpm.pairs,,1),INDEX(_xlpm.pairs,,4))),_xlpm.sortedPairs,_xlfn._xlws.SORT(_xlpm.uniquePairs,1,1),IF(ROW()-1&lt;=ROWS(_xlpm.sortedPairs),INDEX(_xlpm.sortedPairs,ROW()-1,1),"")),"")</f>
        <v/>
      </c>
      <c r="M301" s="15">
        <f t="array" ref="M301">IFERROR(_xlfn.LET(_xlpm.pairs,_xlfn._xlws.FILTER($A$2:$D$391,($A$2:$A$391&lt;&gt;"")*(TRIM($D$2:$D$391)&lt;&gt;"")),_xlpm.uniquePairs,_xlfn.UNIQUE(_xlfn.HSTACK(INDEX(_xlpm.pairs,,1),INDEX(_xlpm.pairs,,4))),_xlpm.sortedPairs,_xlfn._xlws.SORT(_xlpm.uniquePairs,1,1),IF(ROW()-1&lt;=ROWS(_xlpm.sortedPairs),INDEX(_xlpm.sortedPairs,ROW()-1,2),"")),"")</f>
        <v/>
      </c>
      <c r="N301" s="15">
        <f t="array" ref="N301">IF(OR(L301="",M301=""),"",IFERROR(INDEX($E$2:$E$391,MATCH(1,($A$2:$A$391=L301)*($D$2:$D$391=M301),0)),""))</f>
        <v/>
      </c>
      <c r="O301" s="69">
        <f>IF(OR(L301="",M301=""),"",SUMIFS($J$2:$J$391,$A$2:$A$391,L301,$D$2:$D$391,M301))</f>
        <v/>
      </c>
      <c r="P301" s="6" t="n"/>
    </row>
    <row r="302">
      <c r="A302" s="44" t="n"/>
      <c r="B302" s="44" t="inlineStr">
        <is>
          <t>Ext. A (Out - Chillroll)</t>
        </is>
      </c>
      <c r="C302" s="43" t="n"/>
      <c r="D302" s="43">
        <f>IF(C302="","",IFERROR(_xlfn.XLOOKUP(C302,HELPER!$A$2:$A$76,HELPER!$B$2:$B$76,""),D302))</f>
        <v/>
      </c>
      <c r="E302" s="43">
        <f>IFERROR(_xlfn.XLOOKUP(D302,HELPER!$B:$B,HELPER!$C:$C,""),"")</f>
        <v/>
      </c>
      <c r="F302" s="42">
        <f>IFERROR(_xlfn.XLOOKUP(D302,HELPER!$B:$B,HELPER!$D:$D,""),"")</f>
        <v/>
      </c>
      <c r="G302" s="42" t="n">
        <v>8</v>
      </c>
      <c r="H302" s="556" t="n"/>
      <c r="I302" s="72">
        <f>IF(AND(H302&lt;&gt;"",IFERROR(_xlfn.XLOOKUP(D302,HELPER!$B:$B,HELPER!$E:$E,""),"")=""),"Missing price",IFERROR(_xlfn.XLOOKUP(D302,HELPER!$B:$B,HELPER!$E:$E,"")," "))</f>
        <v/>
      </c>
      <c r="J302" s="72">
        <f>IFERROR(H302*(IF(G302=8,I302*HELPER!$G$2,BOM!I302*HELPER!$G$3))," ")</f>
        <v/>
      </c>
      <c r="K302" s="6" t="n"/>
      <c r="L302" s="14">
        <f t="array" ref="L302">IFERROR(_xlfn.LET(_xlpm.pairs,_xlfn._xlws.FILTER($A$2:$D$391,($A$2:$A$391&lt;&gt;"")*(TRIM($D$2:$D$391)&lt;&gt;"")),_xlpm.uniquePairs,_xlfn.UNIQUE(_xlfn.HSTACK(INDEX(_xlpm.pairs,,1),INDEX(_xlpm.pairs,,4))),_xlpm.sortedPairs,_xlfn._xlws.SORT(_xlpm.uniquePairs,1,1),IF(ROW()-1&lt;=ROWS(_xlpm.sortedPairs),INDEX(_xlpm.sortedPairs,ROW()-1,1),"")),"")</f>
        <v/>
      </c>
      <c r="M302" s="15">
        <f t="array" ref="M302">IFERROR(_xlfn.LET(_xlpm.pairs,_xlfn._xlws.FILTER($A$2:$D$391,($A$2:$A$391&lt;&gt;"")*(TRIM($D$2:$D$391)&lt;&gt;"")),_xlpm.uniquePairs,_xlfn.UNIQUE(_xlfn.HSTACK(INDEX(_xlpm.pairs,,1),INDEX(_xlpm.pairs,,4))),_xlpm.sortedPairs,_xlfn._xlws.SORT(_xlpm.uniquePairs,1,1),IF(ROW()-1&lt;=ROWS(_xlpm.sortedPairs),INDEX(_xlpm.sortedPairs,ROW()-1,2),"")),"")</f>
        <v/>
      </c>
      <c r="N302" s="15">
        <f t="array" ref="N302">IF(OR(L302="",M302=""),"",IFERROR(INDEX($E$2:$E$391,MATCH(1,($A$2:$A$391=L302)*($D$2:$D$391=M302),0)),""))</f>
        <v/>
      </c>
      <c r="O302" s="69">
        <f>IF(OR(L302="",M302=""),"",SUMIFS($J$2:$J$391,$A$2:$A$391,L302,$D$2:$D$391,M302))</f>
        <v/>
      </c>
      <c r="P302" s="6" t="n"/>
    </row>
    <row r="303">
      <c r="A303" s="44" t="n"/>
      <c r="B303" s="44" t="inlineStr">
        <is>
          <t>Ext. A (Out - Chillroll)</t>
        </is>
      </c>
      <c r="C303" s="43" t="n"/>
      <c r="D303" s="43">
        <f>IF(C303="","",IFERROR(_xlfn.XLOOKUP(C303,HELPER!$A$2:$A$76,HELPER!$B$2:$B$76,""),D303))</f>
        <v/>
      </c>
      <c r="E303" s="43">
        <f>IFERROR(_xlfn.XLOOKUP(D303,HELPER!$B:$B,HELPER!$C:$C,""),"")</f>
        <v/>
      </c>
      <c r="F303" s="42">
        <f>IFERROR(_xlfn.XLOOKUP(D303,HELPER!$B:$B,HELPER!$D:$D,""),"")</f>
        <v/>
      </c>
      <c r="G303" s="42" t="n">
        <v>8</v>
      </c>
      <c r="H303" s="556" t="n"/>
      <c r="I303" s="72">
        <f>IF(AND(H303&lt;&gt;"",IFERROR(_xlfn.XLOOKUP(D303,HELPER!$B:$B,HELPER!$E:$E,""),"")=""),"Missing price",IFERROR(_xlfn.XLOOKUP(D303,HELPER!$B:$B,HELPER!$E:$E,"")," "))</f>
        <v/>
      </c>
      <c r="J303" s="72">
        <f>IFERROR(H303*(IF(G303=8,I303*HELPER!$G$2,BOM!I303*HELPER!$G$3))," ")</f>
        <v/>
      </c>
      <c r="K303" s="6" t="n"/>
      <c r="L303" s="14">
        <f t="array" ref="L303">IFERROR(_xlfn.LET(_xlpm.pairs,_xlfn._xlws.FILTER($A$2:$D$391,($A$2:$A$391&lt;&gt;"")*(TRIM($D$2:$D$391)&lt;&gt;"")),_xlpm.uniquePairs,_xlfn.UNIQUE(_xlfn.HSTACK(INDEX(_xlpm.pairs,,1),INDEX(_xlpm.pairs,,4))),_xlpm.sortedPairs,_xlfn._xlws.SORT(_xlpm.uniquePairs,1,1),IF(ROW()-1&lt;=ROWS(_xlpm.sortedPairs),INDEX(_xlpm.sortedPairs,ROW()-1,1),"")),"")</f>
        <v/>
      </c>
      <c r="M303" s="15">
        <f t="array" ref="M303">IFERROR(_xlfn.LET(_xlpm.pairs,_xlfn._xlws.FILTER($A$2:$D$391,($A$2:$A$391&lt;&gt;"")*(TRIM($D$2:$D$391)&lt;&gt;"")),_xlpm.uniquePairs,_xlfn.UNIQUE(_xlfn.HSTACK(INDEX(_xlpm.pairs,,1),INDEX(_xlpm.pairs,,4))),_xlpm.sortedPairs,_xlfn._xlws.SORT(_xlpm.uniquePairs,1,1),IF(ROW()-1&lt;=ROWS(_xlpm.sortedPairs),INDEX(_xlpm.sortedPairs,ROW()-1,2),"")),"")</f>
        <v/>
      </c>
      <c r="N303" s="15">
        <f t="array" ref="N303">IF(OR(L303="",M303=""),"",IFERROR(INDEX($E$2:$E$391,MATCH(1,($A$2:$A$391=L303)*($D$2:$D$391=M303),0)),""))</f>
        <v/>
      </c>
      <c r="O303" s="69">
        <f>IF(OR(L303="",M303=""),"",SUMIFS($J$2:$J$391,$A$2:$A$391,L303,$D$2:$D$391,M303))</f>
        <v/>
      </c>
      <c r="P303" s="6" t="n"/>
    </row>
    <row r="304">
      <c r="A304" s="44" t="n"/>
      <c r="B304" s="44" t="inlineStr">
        <is>
          <t>Ext. A (Out - Chillroll)</t>
        </is>
      </c>
      <c r="C304" s="43" t="n"/>
      <c r="D304" s="43">
        <f>IF(C304="","",IFERROR(_xlfn.XLOOKUP(C304,HELPER!$A$2:$A$76,HELPER!$B$2:$B$76,""),D304))</f>
        <v/>
      </c>
      <c r="E304" s="43">
        <f>IFERROR(_xlfn.XLOOKUP(D304,HELPER!$B:$B,HELPER!$C:$C,""),"")</f>
        <v/>
      </c>
      <c r="F304" s="42">
        <f>IFERROR(_xlfn.XLOOKUP(D304,HELPER!$B:$B,HELPER!$D:$D,""),"")</f>
        <v/>
      </c>
      <c r="G304" s="42" t="n">
        <v>8</v>
      </c>
      <c r="H304" s="556" t="n"/>
      <c r="I304" s="72">
        <f>IF(AND(H304&lt;&gt;"",IFERROR(_xlfn.XLOOKUP(D304,HELPER!$B:$B,HELPER!$E:$E,""),"")=""),"Missing price",IFERROR(_xlfn.XLOOKUP(D304,HELPER!$B:$B,HELPER!$E:$E,"")," "))</f>
        <v/>
      </c>
      <c r="J304" s="72">
        <f>IFERROR(H304*(IF(G304=8,I304*HELPER!$G$2,BOM!I304*HELPER!$G$3))," ")</f>
        <v/>
      </c>
      <c r="K304" s="6" t="n"/>
      <c r="L304" s="14">
        <f t="array" ref="L304">IFERROR(_xlfn.LET(_xlpm.pairs,_xlfn._xlws.FILTER($A$2:$D$391,($A$2:$A$391&lt;&gt;"")*(TRIM($D$2:$D$391)&lt;&gt;"")),_xlpm.uniquePairs,_xlfn.UNIQUE(_xlfn.HSTACK(INDEX(_xlpm.pairs,,1),INDEX(_xlpm.pairs,,4))),_xlpm.sortedPairs,_xlfn._xlws.SORT(_xlpm.uniquePairs,1,1),IF(ROW()-1&lt;=ROWS(_xlpm.sortedPairs),INDEX(_xlpm.sortedPairs,ROW()-1,1),"")),"")</f>
        <v/>
      </c>
      <c r="M304" s="15">
        <f t="array" ref="M304">IFERROR(_xlfn.LET(_xlpm.pairs,_xlfn._xlws.FILTER($A$2:$D$391,($A$2:$A$391&lt;&gt;"")*(TRIM($D$2:$D$391)&lt;&gt;"")),_xlpm.uniquePairs,_xlfn.UNIQUE(_xlfn.HSTACK(INDEX(_xlpm.pairs,,1),INDEX(_xlpm.pairs,,4))),_xlpm.sortedPairs,_xlfn._xlws.SORT(_xlpm.uniquePairs,1,1),IF(ROW()-1&lt;=ROWS(_xlpm.sortedPairs),INDEX(_xlpm.sortedPairs,ROW()-1,2),"")),"")</f>
        <v/>
      </c>
      <c r="N304" s="15">
        <f t="array" ref="N304">IF(OR(L304="",M304=""),"",IFERROR(INDEX($E$2:$E$391,MATCH(1,($A$2:$A$391=L304)*($D$2:$D$391=M304),0)),""))</f>
        <v/>
      </c>
      <c r="O304" s="69">
        <f>IF(OR(L304="",M304=""),"",SUMIFS($J$2:$J$391,$A$2:$A$391,L304,$D$2:$D$391,M304))</f>
        <v/>
      </c>
      <c r="P304" s="6" t="n"/>
    </row>
    <row r="305">
      <c r="A305" s="44" t="n"/>
      <c r="B305" s="44" t="inlineStr">
        <is>
          <t>Ext. A (Out - Chillroll)</t>
        </is>
      </c>
      <c r="C305" s="43" t="n"/>
      <c r="D305" s="43">
        <f>IF(C305="","",IFERROR(_xlfn.XLOOKUP(C305,HELPER!$A$2:$A$76,HELPER!$B$2:$B$76,""),D305))</f>
        <v/>
      </c>
      <c r="E305" s="43">
        <f>IFERROR(_xlfn.XLOOKUP(D305,HELPER!$B:$B,HELPER!$C:$C,""),"")</f>
        <v/>
      </c>
      <c r="F305" s="42">
        <f>IFERROR(_xlfn.XLOOKUP(D305,HELPER!$B:$B,HELPER!$D:$D,""),"")</f>
        <v/>
      </c>
      <c r="G305" s="42" t="n">
        <v>8</v>
      </c>
      <c r="H305" s="556" t="n"/>
      <c r="I305" s="72">
        <f>IF(AND(H305&lt;&gt;"",IFERROR(_xlfn.XLOOKUP(D305,HELPER!$B:$B,HELPER!$E:$E,""),"")=""),"Missing price",IFERROR(_xlfn.XLOOKUP(D305,HELPER!$B:$B,HELPER!$E:$E,"")," "))</f>
        <v/>
      </c>
      <c r="J305" s="72">
        <f>IFERROR(H305*(IF(G305=8,I305*HELPER!$G$2,BOM!I305*HELPER!$G$3))," ")</f>
        <v/>
      </c>
      <c r="K305" s="6" t="n"/>
      <c r="L305" s="14">
        <f t="array" ref="L305">IFERROR(_xlfn.LET(_xlpm.pairs,_xlfn._xlws.FILTER($A$2:$D$391,($A$2:$A$391&lt;&gt;"")*(TRIM($D$2:$D$391)&lt;&gt;"")),_xlpm.uniquePairs,_xlfn.UNIQUE(_xlfn.HSTACK(INDEX(_xlpm.pairs,,1),INDEX(_xlpm.pairs,,4))),_xlpm.sortedPairs,_xlfn._xlws.SORT(_xlpm.uniquePairs,1,1),IF(ROW()-1&lt;=ROWS(_xlpm.sortedPairs),INDEX(_xlpm.sortedPairs,ROW()-1,1),"")),"")</f>
        <v/>
      </c>
      <c r="M305" s="15">
        <f t="array" ref="M305">IFERROR(_xlfn.LET(_xlpm.pairs,_xlfn._xlws.FILTER($A$2:$D$391,($A$2:$A$391&lt;&gt;"")*(TRIM($D$2:$D$391)&lt;&gt;"")),_xlpm.uniquePairs,_xlfn.UNIQUE(_xlfn.HSTACK(INDEX(_xlpm.pairs,,1),INDEX(_xlpm.pairs,,4))),_xlpm.sortedPairs,_xlfn._xlws.SORT(_xlpm.uniquePairs,1,1),IF(ROW()-1&lt;=ROWS(_xlpm.sortedPairs),INDEX(_xlpm.sortedPairs,ROW()-1,2),"")),"")</f>
        <v/>
      </c>
      <c r="N305" s="15">
        <f t="array" ref="N305">IF(OR(L305="",M305=""),"",IFERROR(INDEX($E$2:$E$391,MATCH(1,($A$2:$A$391=L305)*($D$2:$D$391=M305),0)),""))</f>
        <v/>
      </c>
      <c r="O305" s="69">
        <f>IF(OR(L305="",M305=""),"",SUMIFS($J$2:$J$391,$A$2:$A$391,L305,$D$2:$D$391,M305))</f>
        <v/>
      </c>
      <c r="P305" s="6" t="n"/>
    </row>
    <row r="306">
      <c r="A306" s="44" t="n"/>
      <c r="B306" s="44" t="inlineStr">
        <is>
          <t>Ext. A (Out - Chillroll)</t>
        </is>
      </c>
      <c r="C306" s="43" t="n"/>
      <c r="D306" s="43">
        <f>IF(C306="","",IFERROR(_xlfn.XLOOKUP(C306,HELPER!$A$2:$A$76,HELPER!$B$2:$B$76,""),D306))</f>
        <v/>
      </c>
      <c r="E306" s="43">
        <f>IFERROR(_xlfn.XLOOKUP(D306,HELPER!$B:$B,HELPER!$C:$C,""),"")</f>
        <v/>
      </c>
      <c r="F306" s="42">
        <f>IFERROR(_xlfn.XLOOKUP(D306,HELPER!$B:$B,HELPER!$D:$D,""),"")</f>
        <v/>
      </c>
      <c r="G306" s="42" t="n">
        <v>8</v>
      </c>
      <c r="H306" s="556" t="n"/>
      <c r="I306" s="72">
        <f>IF(AND(H306&lt;&gt;"",IFERROR(_xlfn.XLOOKUP(D306,HELPER!$B:$B,HELPER!$E:$E,""),"")=""),"Missing price",IFERROR(_xlfn.XLOOKUP(D306,HELPER!$B:$B,HELPER!$E:$E,"")," "))</f>
        <v/>
      </c>
      <c r="J306" s="72">
        <f>IFERROR(H306*(IF(G306=8,I306*HELPER!$G$2,BOM!I306*HELPER!$G$3))," ")</f>
        <v/>
      </c>
      <c r="K306" s="6" t="n"/>
      <c r="L306" s="14">
        <f t="array" ref="L306">IFERROR(_xlfn.LET(_xlpm.pairs,_xlfn._xlws.FILTER($A$2:$D$391,($A$2:$A$391&lt;&gt;"")*(TRIM($D$2:$D$391)&lt;&gt;"")),_xlpm.uniquePairs,_xlfn.UNIQUE(_xlfn.HSTACK(INDEX(_xlpm.pairs,,1),INDEX(_xlpm.pairs,,4))),_xlpm.sortedPairs,_xlfn._xlws.SORT(_xlpm.uniquePairs,1,1),IF(ROW()-1&lt;=ROWS(_xlpm.sortedPairs),INDEX(_xlpm.sortedPairs,ROW()-1,1),"")),"")</f>
        <v/>
      </c>
      <c r="M306" s="15">
        <f t="array" ref="M306">IFERROR(_xlfn.LET(_xlpm.pairs,_xlfn._xlws.FILTER($A$2:$D$391,($A$2:$A$391&lt;&gt;"")*(TRIM($D$2:$D$391)&lt;&gt;"")),_xlpm.uniquePairs,_xlfn.UNIQUE(_xlfn.HSTACK(INDEX(_xlpm.pairs,,1),INDEX(_xlpm.pairs,,4))),_xlpm.sortedPairs,_xlfn._xlws.SORT(_xlpm.uniquePairs,1,1),IF(ROW()-1&lt;=ROWS(_xlpm.sortedPairs),INDEX(_xlpm.sortedPairs,ROW()-1,2),"")),"")</f>
        <v/>
      </c>
      <c r="N306" s="15">
        <f t="array" ref="N306">IF(OR(L306="",M306=""),"",IFERROR(INDEX($E$2:$E$391,MATCH(1,($A$2:$A$391=L306)*($D$2:$D$391=M306),0)),""))</f>
        <v/>
      </c>
      <c r="O306" s="69">
        <f>IF(OR(L306="",M306=""),"",SUMIFS($J$2:$J$391,$A$2:$A$391,L306,$D$2:$D$391,M306))</f>
        <v/>
      </c>
      <c r="P306" s="6" t="n"/>
    </row>
    <row r="307">
      <c r="A307" s="44" t="n"/>
      <c r="B307" s="44" t="inlineStr">
        <is>
          <t>Ext. A (Out - Chillroll)</t>
        </is>
      </c>
      <c r="C307" s="43" t="n"/>
      <c r="D307" s="43">
        <f>IF(C307="","",IFERROR(_xlfn.XLOOKUP(C307,HELPER!$A$2:$A$76,HELPER!$B$2:$B$76,""),D307))</f>
        <v/>
      </c>
      <c r="E307" s="43">
        <f>IFERROR(_xlfn.XLOOKUP(D307,HELPER!$B:$B,HELPER!$C:$C,""),"")</f>
        <v/>
      </c>
      <c r="F307" s="42">
        <f>IFERROR(_xlfn.XLOOKUP(D307,HELPER!$B:$B,HELPER!$D:$D,""),"")</f>
        <v/>
      </c>
      <c r="G307" s="42" t="n">
        <v>8</v>
      </c>
      <c r="H307" s="556" t="n"/>
      <c r="I307" s="72">
        <f>IF(AND(H307&lt;&gt;"",IFERROR(_xlfn.XLOOKUP(D307,HELPER!$B:$B,HELPER!$E:$E,""),"")=""),"Missing price",IFERROR(_xlfn.XLOOKUP(D307,HELPER!$B:$B,HELPER!$E:$E,"")," "))</f>
        <v/>
      </c>
      <c r="J307" s="72">
        <f>IFERROR(H307*(IF(G307=8,I307*HELPER!$G$2,BOM!I307*HELPER!$G$3))," ")</f>
        <v/>
      </c>
      <c r="K307" s="6" t="n"/>
      <c r="L307" s="14">
        <f t="array" ref="L307">IFERROR(_xlfn.LET(_xlpm.pairs,_xlfn._xlws.FILTER($A$2:$D$391,($A$2:$A$391&lt;&gt;"")*(TRIM($D$2:$D$391)&lt;&gt;"")),_xlpm.uniquePairs,_xlfn.UNIQUE(_xlfn.HSTACK(INDEX(_xlpm.pairs,,1),INDEX(_xlpm.pairs,,4))),_xlpm.sortedPairs,_xlfn._xlws.SORT(_xlpm.uniquePairs,1,1),IF(ROW()-1&lt;=ROWS(_xlpm.sortedPairs),INDEX(_xlpm.sortedPairs,ROW()-1,1),"")),"")</f>
        <v/>
      </c>
      <c r="M307" s="15">
        <f t="array" ref="M307">IFERROR(_xlfn.LET(_xlpm.pairs,_xlfn._xlws.FILTER($A$2:$D$391,($A$2:$A$391&lt;&gt;"")*(TRIM($D$2:$D$391)&lt;&gt;"")),_xlpm.uniquePairs,_xlfn.UNIQUE(_xlfn.HSTACK(INDEX(_xlpm.pairs,,1),INDEX(_xlpm.pairs,,4))),_xlpm.sortedPairs,_xlfn._xlws.SORT(_xlpm.uniquePairs,1,1),IF(ROW()-1&lt;=ROWS(_xlpm.sortedPairs),INDEX(_xlpm.sortedPairs,ROW()-1,2),"")),"")</f>
        <v/>
      </c>
      <c r="N307" s="15">
        <f t="array" ref="N307">IF(OR(L307="",M307=""),"",IFERROR(INDEX($E$2:$E$391,MATCH(1,($A$2:$A$391=L307)*($D$2:$D$391=M307),0)),""))</f>
        <v/>
      </c>
      <c r="O307" s="69">
        <f>IF(OR(L307="",M307=""),"",SUMIFS($J$2:$J$391,$A$2:$A$391,L307,$D$2:$D$391,M307))</f>
        <v/>
      </c>
      <c r="P307" s="6" t="n"/>
    </row>
    <row r="308">
      <c r="A308" s="44" t="n"/>
      <c r="B308" s="44" t="inlineStr">
        <is>
          <t>Ext. A (Out - Chillroll)</t>
        </is>
      </c>
      <c r="C308" s="43" t="n"/>
      <c r="D308" s="43">
        <f>IF(C308="","",IFERROR(_xlfn.XLOOKUP(C308,HELPER!$A$2:$A$76,HELPER!$B$2:$B$76,""),D308))</f>
        <v/>
      </c>
      <c r="E308" s="43">
        <f>IFERROR(_xlfn.XLOOKUP(D308,HELPER!$B:$B,HELPER!$C:$C,""),"")</f>
        <v/>
      </c>
      <c r="F308" s="42">
        <f>IFERROR(_xlfn.XLOOKUP(D308,HELPER!$B:$B,HELPER!$D:$D,""),"")</f>
        <v/>
      </c>
      <c r="G308" s="42" t="n">
        <v>8</v>
      </c>
      <c r="H308" s="556" t="n"/>
      <c r="I308" s="72">
        <f>IF(AND(H308&lt;&gt;"",IFERROR(_xlfn.XLOOKUP(D308,HELPER!$B:$B,HELPER!$E:$E,""),"")=""),"Missing price",IFERROR(_xlfn.XLOOKUP(D308,HELPER!$B:$B,HELPER!$E:$E,"")," "))</f>
        <v/>
      </c>
      <c r="J308" s="72">
        <f>IFERROR(H308*(IF(G308=8,I308*HELPER!$G$2,BOM!I308*HELPER!$G$3))," ")</f>
        <v/>
      </c>
      <c r="K308" s="6" t="n"/>
      <c r="L308" s="14">
        <f t="array" ref="L308">IFERROR(_xlfn.LET(_xlpm.pairs,_xlfn._xlws.FILTER($A$2:$D$391,($A$2:$A$391&lt;&gt;"")*(TRIM($D$2:$D$391)&lt;&gt;"")),_xlpm.uniquePairs,_xlfn.UNIQUE(_xlfn.HSTACK(INDEX(_xlpm.pairs,,1),INDEX(_xlpm.pairs,,4))),_xlpm.sortedPairs,_xlfn._xlws.SORT(_xlpm.uniquePairs,1,1),IF(ROW()-1&lt;=ROWS(_xlpm.sortedPairs),INDEX(_xlpm.sortedPairs,ROW()-1,1),"")),"")</f>
        <v/>
      </c>
      <c r="M308" s="15">
        <f t="array" ref="M308">IFERROR(_xlfn.LET(_xlpm.pairs,_xlfn._xlws.FILTER($A$2:$D$391,($A$2:$A$391&lt;&gt;"")*(TRIM($D$2:$D$391)&lt;&gt;"")),_xlpm.uniquePairs,_xlfn.UNIQUE(_xlfn.HSTACK(INDEX(_xlpm.pairs,,1),INDEX(_xlpm.pairs,,4))),_xlpm.sortedPairs,_xlfn._xlws.SORT(_xlpm.uniquePairs,1,1),IF(ROW()-1&lt;=ROWS(_xlpm.sortedPairs),INDEX(_xlpm.sortedPairs,ROW()-1,2),"")),"")</f>
        <v/>
      </c>
      <c r="N308" s="15">
        <f t="array" ref="N308">IF(OR(L308="",M308=""),"",IFERROR(INDEX($E$2:$E$391,MATCH(1,($A$2:$A$391=L308)*($D$2:$D$391=M308),0)),""))</f>
        <v/>
      </c>
      <c r="O308" s="69">
        <f>IF(OR(L308="",M308=""),"",SUMIFS($J$2:$J$391,$A$2:$A$391,L308,$D$2:$D$391,M308))</f>
        <v/>
      </c>
      <c r="P308" s="6" t="n"/>
    </row>
    <row r="309">
      <c r="A309" s="44" t="n"/>
      <c r="B309" s="44" t="inlineStr">
        <is>
          <t>Ext. A (Out - Chillroll)</t>
        </is>
      </c>
      <c r="C309" s="43" t="n"/>
      <c r="D309" s="43">
        <f>IF(C309="","",IFERROR(_xlfn.XLOOKUP(C309,HELPER!$A$2:$A$76,HELPER!$B$2:$B$76,""),D309))</f>
        <v/>
      </c>
      <c r="E309" s="43">
        <f>IFERROR(_xlfn.XLOOKUP(D309,HELPER!$B:$B,HELPER!$C:$C,""),"")</f>
        <v/>
      </c>
      <c r="F309" s="42">
        <f>IFERROR(_xlfn.XLOOKUP(D309,HELPER!$B:$B,HELPER!$D:$D,""),"")</f>
        <v/>
      </c>
      <c r="G309" s="42" t="n">
        <v>8</v>
      </c>
      <c r="H309" s="556" t="n"/>
      <c r="I309" s="72">
        <f>IF(AND(H309&lt;&gt;"",IFERROR(_xlfn.XLOOKUP(D309,HELPER!$B:$B,HELPER!$E:$E,""),"")=""),"Missing price",IFERROR(_xlfn.XLOOKUP(D309,HELPER!$B:$B,HELPER!$E:$E,"")," "))</f>
        <v/>
      </c>
      <c r="J309" s="72">
        <f>IFERROR(H309*(IF(G309=8,I309*HELPER!$G$2,BOM!I309*HELPER!$G$3))," ")</f>
        <v/>
      </c>
      <c r="K309" s="6" t="n"/>
      <c r="L309" s="14">
        <f t="array" ref="L309">IFERROR(_xlfn.LET(_xlpm.pairs,_xlfn._xlws.FILTER($A$2:$D$391,($A$2:$A$391&lt;&gt;"")*(TRIM($D$2:$D$391)&lt;&gt;"")),_xlpm.uniquePairs,_xlfn.UNIQUE(_xlfn.HSTACK(INDEX(_xlpm.pairs,,1),INDEX(_xlpm.pairs,,4))),_xlpm.sortedPairs,_xlfn._xlws.SORT(_xlpm.uniquePairs,1,1),IF(ROW()-1&lt;=ROWS(_xlpm.sortedPairs),INDEX(_xlpm.sortedPairs,ROW()-1,1),"")),"")</f>
        <v/>
      </c>
      <c r="M309" s="15">
        <f t="array" ref="M309">IFERROR(_xlfn.LET(_xlpm.pairs,_xlfn._xlws.FILTER($A$2:$D$391,($A$2:$A$391&lt;&gt;"")*(TRIM($D$2:$D$391)&lt;&gt;"")),_xlpm.uniquePairs,_xlfn.UNIQUE(_xlfn.HSTACK(INDEX(_xlpm.pairs,,1),INDEX(_xlpm.pairs,,4))),_xlpm.sortedPairs,_xlfn._xlws.SORT(_xlpm.uniquePairs,1,1),IF(ROW()-1&lt;=ROWS(_xlpm.sortedPairs),INDEX(_xlpm.sortedPairs,ROW()-1,2),"")),"")</f>
        <v/>
      </c>
      <c r="N309" s="15">
        <f t="array" ref="N309">IF(OR(L309="",M309=""),"",IFERROR(INDEX($E$2:$E$391,MATCH(1,($A$2:$A$391=L309)*($D$2:$D$391=M309),0)),""))</f>
        <v/>
      </c>
      <c r="O309" s="69">
        <f>IF(OR(L309="",M309=""),"",SUMIFS($J$2:$J$391,$A$2:$A$391,L309,$D$2:$D$391,M309))</f>
        <v/>
      </c>
      <c r="P309" s="6" t="n"/>
    </row>
    <row r="310">
      <c r="A310" s="44" t="n"/>
      <c r="B310" s="44" t="inlineStr">
        <is>
          <t>Ext. A (Out - Chillroll)</t>
        </is>
      </c>
      <c r="C310" s="43" t="n"/>
      <c r="D310" s="43">
        <f>IF(C310="","",IFERROR(_xlfn.XLOOKUP(C310,HELPER!$A$2:$A$76,HELPER!$B$2:$B$76,""),D310))</f>
        <v/>
      </c>
      <c r="E310" s="43">
        <f>IFERROR(_xlfn.XLOOKUP(D310,HELPER!$B:$B,HELPER!$C:$C,""),"")</f>
        <v/>
      </c>
      <c r="F310" s="42">
        <f>IFERROR(_xlfn.XLOOKUP(D310,HELPER!$B:$B,HELPER!$D:$D,""),"")</f>
        <v/>
      </c>
      <c r="G310" s="42" t="n">
        <v>8</v>
      </c>
      <c r="H310" s="556" t="n"/>
      <c r="I310" s="72">
        <f>IF(AND(H310&lt;&gt;"",IFERROR(_xlfn.XLOOKUP(D310,HELPER!$B:$B,HELPER!$E:$E,""),"")=""),"Missing price",IFERROR(_xlfn.XLOOKUP(D310,HELPER!$B:$B,HELPER!$E:$E,"")," "))</f>
        <v/>
      </c>
      <c r="J310" s="72">
        <f>IFERROR(H310*(IF(G310=8,I310*HELPER!$G$2,BOM!I310*HELPER!$G$3))," ")</f>
        <v/>
      </c>
      <c r="K310" s="6" t="n"/>
      <c r="L310" s="14">
        <f t="array" ref="L310">IFERROR(_xlfn.LET(_xlpm.pairs,_xlfn._xlws.FILTER($A$2:$D$391,($A$2:$A$391&lt;&gt;"")*(TRIM($D$2:$D$391)&lt;&gt;"")),_xlpm.uniquePairs,_xlfn.UNIQUE(_xlfn.HSTACK(INDEX(_xlpm.pairs,,1),INDEX(_xlpm.pairs,,4))),_xlpm.sortedPairs,_xlfn._xlws.SORT(_xlpm.uniquePairs,1,1),IF(ROW()-1&lt;=ROWS(_xlpm.sortedPairs),INDEX(_xlpm.sortedPairs,ROW()-1,1),"")),"")</f>
        <v/>
      </c>
      <c r="M310" s="15">
        <f t="array" ref="M310">IFERROR(_xlfn.LET(_xlpm.pairs,_xlfn._xlws.FILTER($A$2:$D$391,($A$2:$A$391&lt;&gt;"")*(TRIM($D$2:$D$391)&lt;&gt;"")),_xlpm.uniquePairs,_xlfn.UNIQUE(_xlfn.HSTACK(INDEX(_xlpm.pairs,,1),INDEX(_xlpm.pairs,,4))),_xlpm.sortedPairs,_xlfn._xlws.SORT(_xlpm.uniquePairs,1,1),IF(ROW()-1&lt;=ROWS(_xlpm.sortedPairs),INDEX(_xlpm.sortedPairs,ROW()-1,2),"")),"")</f>
        <v/>
      </c>
      <c r="N310" s="15">
        <f t="array" ref="N310">IF(OR(L310="",M310=""),"",IFERROR(INDEX($E$2:$E$391,MATCH(1,($A$2:$A$391=L310)*($D$2:$D$391=M310),0)),""))</f>
        <v/>
      </c>
      <c r="O310" s="69">
        <f>IF(OR(L310="",M310=""),"",SUMIFS($J$2:$J$391,$A$2:$A$391,L310,$D$2:$D$391,M310))</f>
        <v/>
      </c>
      <c r="P310" s="6" t="n"/>
    </row>
    <row r="311">
      <c r="A311" s="44" t="n"/>
      <c r="B311" s="44" t="inlineStr">
        <is>
          <t>Ext. A (Out - Chillroll)</t>
        </is>
      </c>
      <c r="C311" s="43" t="n"/>
      <c r="D311" s="43">
        <f>IF(C311="","",IFERROR(_xlfn.XLOOKUP(C311,HELPER!$A$2:$A$76,HELPER!$B$2:$B$76,""),D311))</f>
        <v/>
      </c>
      <c r="E311" s="43">
        <f>IFERROR(_xlfn.XLOOKUP(D311,HELPER!$B:$B,HELPER!$C:$C,""),"")</f>
        <v/>
      </c>
      <c r="F311" s="42">
        <f>IFERROR(_xlfn.XLOOKUP(D311,HELPER!$B:$B,HELPER!$D:$D,""),"")</f>
        <v/>
      </c>
      <c r="G311" s="42" t="n">
        <v>8</v>
      </c>
      <c r="H311" s="556" t="n"/>
      <c r="I311" s="72">
        <f>IF(AND(H311&lt;&gt;"",IFERROR(_xlfn.XLOOKUP(D311,HELPER!$B:$B,HELPER!$E:$E,""),"")=""),"Missing price",IFERROR(_xlfn.XLOOKUP(D311,HELPER!$B:$B,HELPER!$E:$E,"")," "))</f>
        <v/>
      </c>
      <c r="J311" s="72">
        <f>IFERROR(H311*(IF(G311=8,I311*HELPER!$G$2,BOM!I311*HELPER!$G$3))," ")</f>
        <v/>
      </c>
      <c r="K311" s="6" t="n"/>
      <c r="L311" s="14">
        <f t="array" ref="L311">IFERROR(_xlfn.LET(_xlpm.pairs,_xlfn._xlws.FILTER($A$2:$D$391,($A$2:$A$391&lt;&gt;"")*(TRIM($D$2:$D$391)&lt;&gt;"")),_xlpm.uniquePairs,_xlfn.UNIQUE(_xlfn.HSTACK(INDEX(_xlpm.pairs,,1),INDEX(_xlpm.pairs,,4))),_xlpm.sortedPairs,_xlfn._xlws.SORT(_xlpm.uniquePairs,1,1),IF(ROW()-1&lt;=ROWS(_xlpm.sortedPairs),INDEX(_xlpm.sortedPairs,ROW()-1,1),"")),"")</f>
        <v/>
      </c>
      <c r="M311" s="15">
        <f t="array" ref="M311">IFERROR(_xlfn.LET(_xlpm.pairs,_xlfn._xlws.FILTER($A$2:$D$391,($A$2:$A$391&lt;&gt;"")*(TRIM($D$2:$D$391)&lt;&gt;"")),_xlpm.uniquePairs,_xlfn.UNIQUE(_xlfn.HSTACK(INDEX(_xlpm.pairs,,1),INDEX(_xlpm.pairs,,4))),_xlpm.sortedPairs,_xlfn._xlws.SORT(_xlpm.uniquePairs,1,1),IF(ROW()-1&lt;=ROWS(_xlpm.sortedPairs),INDEX(_xlpm.sortedPairs,ROW()-1,2),"")),"")</f>
        <v/>
      </c>
      <c r="N311" s="15">
        <f t="array" ref="N311">IF(OR(L311="",M311=""),"",IFERROR(INDEX($E$2:$E$391,MATCH(1,($A$2:$A$391=L311)*($D$2:$D$391=M311),0)),""))</f>
        <v/>
      </c>
      <c r="O311" s="69">
        <f>IF(OR(L311="",M311=""),"",SUMIFS($J$2:$J$391,$A$2:$A$391,L311,$D$2:$D$391,M311))</f>
        <v/>
      </c>
      <c r="P311" s="6" t="n"/>
    </row>
    <row r="312">
      <c r="A312" s="44" t="n"/>
      <c r="B312" s="44" t="inlineStr">
        <is>
          <t xml:space="preserve">Ext. B </t>
        </is>
      </c>
      <c r="C312" s="43" t="n"/>
      <c r="D312" s="43">
        <f>IF(C312="","",IFERROR(_xlfn.XLOOKUP(C312,HELPER!$A$2:$A$76,HELPER!$B$2:$B$76,""),D312))</f>
        <v/>
      </c>
      <c r="E312" s="43">
        <f>IFERROR(_xlfn.XLOOKUP(D312,HELPER!$B:$B,HELPER!$C:$C,""),"")</f>
        <v/>
      </c>
      <c r="F312" s="42">
        <f>IFERROR(_xlfn.XLOOKUP(D312,HELPER!$B:$B,HELPER!$D:$D,""),"")</f>
        <v/>
      </c>
      <c r="G312" s="42" t="n">
        <v>24</v>
      </c>
      <c r="H312" s="556" t="n"/>
      <c r="I312" s="72">
        <f>IF(AND(H312&lt;&gt;"",IFERROR(_xlfn.XLOOKUP(D312,HELPER!$B:$B,HELPER!$E:$E,""),"")=""),"Missing price",IFERROR(_xlfn.XLOOKUP(D312,HELPER!$B:$B,HELPER!$E:$E,"")," "))</f>
        <v/>
      </c>
      <c r="J312" s="72">
        <f>IFERROR(H312*(IF(G312=8,I312*HELPER!$G$2,BOM!I312*HELPER!$G$3))," ")</f>
        <v/>
      </c>
      <c r="K312" s="6" t="n"/>
      <c r="L312" s="14">
        <f t="array" ref="L312">IFERROR(_xlfn.LET(_xlpm.pairs,_xlfn._xlws.FILTER($A$2:$D$391,($A$2:$A$391&lt;&gt;"")*(TRIM($D$2:$D$391)&lt;&gt;"")),_xlpm.uniquePairs,_xlfn.UNIQUE(_xlfn.HSTACK(INDEX(_xlpm.pairs,,1),INDEX(_xlpm.pairs,,4))),_xlpm.sortedPairs,_xlfn._xlws.SORT(_xlpm.uniquePairs,1,1),IF(ROW()-1&lt;=ROWS(_xlpm.sortedPairs),INDEX(_xlpm.sortedPairs,ROW()-1,1),"")),"")</f>
        <v/>
      </c>
      <c r="M312" s="15">
        <f t="array" ref="M312">IFERROR(_xlfn.LET(_xlpm.pairs,_xlfn._xlws.FILTER($A$2:$D$391,($A$2:$A$391&lt;&gt;"")*(TRIM($D$2:$D$391)&lt;&gt;"")),_xlpm.uniquePairs,_xlfn.UNIQUE(_xlfn.HSTACK(INDEX(_xlpm.pairs,,1),INDEX(_xlpm.pairs,,4))),_xlpm.sortedPairs,_xlfn._xlws.SORT(_xlpm.uniquePairs,1,1),IF(ROW()-1&lt;=ROWS(_xlpm.sortedPairs),INDEX(_xlpm.sortedPairs,ROW()-1,2),"")),"")</f>
        <v/>
      </c>
      <c r="N312" s="15">
        <f t="array" ref="N312">IF(OR(L312="",M312=""),"",IFERROR(INDEX($E$2:$E$391,MATCH(1,($A$2:$A$391=L312)*($D$2:$D$391=M312),0)),""))</f>
        <v/>
      </c>
      <c r="O312" s="69">
        <f>IF(OR(L312="",M312=""),"",SUMIFS($J$2:$J$391,$A$2:$A$391,L312,$D$2:$D$391,M312))</f>
        <v/>
      </c>
      <c r="P312" s="6" t="n"/>
    </row>
    <row r="313">
      <c r="A313" s="44" t="n"/>
      <c r="B313" s="44" t="inlineStr">
        <is>
          <t xml:space="preserve">Ext. B </t>
        </is>
      </c>
      <c r="C313" s="43" t="n"/>
      <c r="D313" s="43">
        <f>IF(C313="","",IFERROR(_xlfn.XLOOKUP(C313,HELPER!$A$2:$A$76,HELPER!$B$2:$B$76,""),D313))</f>
        <v/>
      </c>
      <c r="E313" s="43">
        <f>IFERROR(_xlfn.XLOOKUP(D313,HELPER!$B:$B,HELPER!$C:$C,""),"")</f>
        <v/>
      </c>
      <c r="F313" s="42">
        <f>IFERROR(_xlfn.XLOOKUP(D313,HELPER!$B:$B,HELPER!$D:$D,""),"")</f>
        <v/>
      </c>
      <c r="G313" s="42" t="n">
        <v>24</v>
      </c>
      <c r="H313" s="556" t="n"/>
      <c r="I313" s="72">
        <f>IF(AND(H313&lt;&gt;"",IFERROR(_xlfn.XLOOKUP(D313,HELPER!$B:$B,HELPER!$E:$E,""),"")=""),"Missing price",IFERROR(_xlfn.XLOOKUP(D313,HELPER!$B:$B,HELPER!$E:$E,"")," "))</f>
        <v/>
      </c>
      <c r="J313" s="72">
        <f>IFERROR(H313*(IF(G313=8,I313*HELPER!$G$2,BOM!I313*HELPER!$G$3))," ")</f>
        <v/>
      </c>
      <c r="K313" s="6" t="n"/>
      <c r="L313" s="14">
        <f t="array" ref="L313">IFERROR(_xlfn.LET(_xlpm.pairs,_xlfn._xlws.FILTER($A$2:$D$391,($A$2:$A$391&lt;&gt;"")*(TRIM($D$2:$D$391)&lt;&gt;"")),_xlpm.uniquePairs,_xlfn.UNIQUE(_xlfn.HSTACK(INDEX(_xlpm.pairs,,1),INDEX(_xlpm.pairs,,4))),_xlpm.sortedPairs,_xlfn._xlws.SORT(_xlpm.uniquePairs,1,1),IF(ROW()-1&lt;=ROWS(_xlpm.sortedPairs),INDEX(_xlpm.sortedPairs,ROW()-1,1),"")),"")</f>
        <v/>
      </c>
      <c r="M313" s="15">
        <f t="array" ref="M313">IFERROR(_xlfn.LET(_xlpm.pairs,_xlfn._xlws.FILTER($A$2:$D$391,($A$2:$A$391&lt;&gt;"")*(TRIM($D$2:$D$391)&lt;&gt;"")),_xlpm.uniquePairs,_xlfn.UNIQUE(_xlfn.HSTACK(INDEX(_xlpm.pairs,,1),INDEX(_xlpm.pairs,,4))),_xlpm.sortedPairs,_xlfn._xlws.SORT(_xlpm.uniquePairs,1,1),IF(ROW()-1&lt;=ROWS(_xlpm.sortedPairs),INDEX(_xlpm.sortedPairs,ROW()-1,2),"")),"")</f>
        <v/>
      </c>
      <c r="N313" s="15">
        <f t="array" ref="N313">IF(OR(L313="",M313=""),"",IFERROR(INDEX($E$2:$E$391,MATCH(1,($A$2:$A$391=L313)*($D$2:$D$391=M313),0)),""))</f>
        <v/>
      </c>
      <c r="O313" s="69">
        <f>IF(OR(L313="",M313=""),"",SUMIFS($J$2:$J$391,$A$2:$A$391,L313,$D$2:$D$391,M313))</f>
        <v/>
      </c>
      <c r="P313" s="6" t="n"/>
    </row>
    <row r="314">
      <c r="A314" s="44" t="n"/>
      <c r="B314" s="44" t="inlineStr">
        <is>
          <t xml:space="preserve">Ext. B </t>
        </is>
      </c>
      <c r="C314" s="43" t="n"/>
      <c r="D314" s="43">
        <f>IF(C314="","",IFERROR(_xlfn.XLOOKUP(C314,HELPER!$A$2:$A$76,HELPER!$B$2:$B$76,""),D314))</f>
        <v/>
      </c>
      <c r="E314" s="43">
        <f>IFERROR(_xlfn.XLOOKUP(D314,HELPER!$B:$B,HELPER!$C:$C,""),"")</f>
        <v/>
      </c>
      <c r="F314" s="42">
        <f>IFERROR(_xlfn.XLOOKUP(D314,HELPER!$B:$B,HELPER!$D:$D,""),"")</f>
        <v/>
      </c>
      <c r="G314" s="42" t="n">
        <v>24</v>
      </c>
      <c r="H314" s="556" t="n"/>
      <c r="I314" s="72">
        <f>IF(AND(H314&lt;&gt;"",IFERROR(_xlfn.XLOOKUP(D314,HELPER!$B:$B,HELPER!$E:$E,""),"")=""),"Missing price",IFERROR(_xlfn.XLOOKUP(D314,HELPER!$B:$B,HELPER!$E:$E,"")," "))</f>
        <v/>
      </c>
      <c r="J314" s="72">
        <f>IFERROR(H314*(IF(G314=8,I314*HELPER!$G$2,BOM!I314*HELPER!$G$3))," ")</f>
        <v/>
      </c>
      <c r="K314" s="6" t="n"/>
      <c r="L314" s="14">
        <f t="array" ref="L314">IFERROR(_xlfn.LET(_xlpm.pairs,_xlfn._xlws.FILTER($A$2:$D$391,($A$2:$A$391&lt;&gt;"")*(TRIM($D$2:$D$391)&lt;&gt;"")),_xlpm.uniquePairs,_xlfn.UNIQUE(_xlfn.HSTACK(INDEX(_xlpm.pairs,,1),INDEX(_xlpm.pairs,,4))),_xlpm.sortedPairs,_xlfn._xlws.SORT(_xlpm.uniquePairs,1,1),IF(ROW()-1&lt;=ROWS(_xlpm.sortedPairs),INDEX(_xlpm.sortedPairs,ROW()-1,1),"")),"")</f>
        <v/>
      </c>
      <c r="M314" s="15">
        <f t="array" ref="M314">IFERROR(_xlfn.LET(_xlpm.pairs,_xlfn._xlws.FILTER($A$2:$D$391,($A$2:$A$391&lt;&gt;"")*(TRIM($D$2:$D$391)&lt;&gt;"")),_xlpm.uniquePairs,_xlfn.UNIQUE(_xlfn.HSTACK(INDEX(_xlpm.pairs,,1),INDEX(_xlpm.pairs,,4))),_xlpm.sortedPairs,_xlfn._xlws.SORT(_xlpm.uniquePairs,1,1),IF(ROW()-1&lt;=ROWS(_xlpm.sortedPairs),INDEX(_xlpm.sortedPairs,ROW()-1,2),"")),"")</f>
        <v/>
      </c>
      <c r="N314" s="15">
        <f t="array" ref="N314">IF(OR(L314="",M314=""),"",IFERROR(INDEX($E$2:$E$391,MATCH(1,($A$2:$A$391=L314)*($D$2:$D$391=M314),0)),""))</f>
        <v/>
      </c>
      <c r="O314" s="69">
        <f>IF(OR(L314="",M314=""),"",SUMIFS($J$2:$J$391,$A$2:$A$391,L314,$D$2:$D$391,M314))</f>
        <v/>
      </c>
      <c r="P314" s="6" t="n"/>
    </row>
    <row r="315">
      <c r="A315" s="44" t="n"/>
      <c r="B315" s="44" t="inlineStr">
        <is>
          <t xml:space="preserve">Ext. B </t>
        </is>
      </c>
      <c r="C315" s="43" t="n"/>
      <c r="D315" s="43">
        <f>IF(C315="","",IFERROR(_xlfn.XLOOKUP(C315,HELPER!$A$2:$A$76,HELPER!$B$2:$B$76,""),D315))</f>
        <v/>
      </c>
      <c r="E315" s="43">
        <f>IFERROR(_xlfn.XLOOKUP(D315,HELPER!$B:$B,HELPER!$C:$C,""),"")</f>
        <v/>
      </c>
      <c r="F315" s="42">
        <f>IFERROR(_xlfn.XLOOKUP(D315,HELPER!$B:$B,HELPER!$D:$D,""),"")</f>
        <v/>
      </c>
      <c r="G315" s="42" t="n">
        <v>24</v>
      </c>
      <c r="H315" s="556" t="n"/>
      <c r="I315" s="72">
        <f>IF(AND(H315&lt;&gt;"",IFERROR(_xlfn.XLOOKUP(D315,HELPER!$B:$B,HELPER!$E:$E,""),"")=""),"Missing price",IFERROR(_xlfn.XLOOKUP(D315,HELPER!$B:$B,HELPER!$E:$E,"")," "))</f>
        <v/>
      </c>
      <c r="J315" s="72">
        <f>IFERROR(H315*(IF(G315=8,I315*HELPER!$G$2,BOM!I315*HELPER!$G$3))," ")</f>
        <v/>
      </c>
      <c r="K315" s="6" t="n"/>
      <c r="L315" s="14">
        <f t="array" ref="L315">IFERROR(_xlfn.LET(_xlpm.pairs,_xlfn._xlws.FILTER($A$2:$D$391,($A$2:$A$391&lt;&gt;"")*(TRIM($D$2:$D$391)&lt;&gt;"")),_xlpm.uniquePairs,_xlfn.UNIQUE(_xlfn.HSTACK(INDEX(_xlpm.pairs,,1),INDEX(_xlpm.pairs,,4))),_xlpm.sortedPairs,_xlfn._xlws.SORT(_xlpm.uniquePairs,1,1),IF(ROW()-1&lt;=ROWS(_xlpm.sortedPairs),INDEX(_xlpm.sortedPairs,ROW()-1,1),"")),"")</f>
        <v/>
      </c>
      <c r="M315" s="15">
        <f t="array" ref="M315">IFERROR(_xlfn.LET(_xlpm.pairs,_xlfn._xlws.FILTER($A$2:$D$391,($A$2:$A$391&lt;&gt;"")*(TRIM($D$2:$D$391)&lt;&gt;"")),_xlpm.uniquePairs,_xlfn.UNIQUE(_xlfn.HSTACK(INDEX(_xlpm.pairs,,1),INDEX(_xlpm.pairs,,4))),_xlpm.sortedPairs,_xlfn._xlws.SORT(_xlpm.uniquePairs,1,1),IF(ROW()-1&lt;=ROWS(_xlpm.sortedPairs),INDEX(_xlpm.sortedPairs,ROW()-1,2),"")),"")</f>
        <v/>
      </c>
      <c r="N315" s="15">
        <f t="array" ref="N315">IF(OR(L315="",M315=""),"",IFERROR(INDEX($E$2:$E$391,MATCH(1,($A$2:$A$391=L315)*($D$2:$D$391=M315),0)),""))</f>
        <v/>
      </c>
      <c r="O315" s="69">
        <f>IF(OR(L315="",M315=""),"",SUMIFS($J$2:$J$391,$A$2:$A$391,L315,$D$2:$D$391,M315))</f>
        <v/>
      </c>
      <c r="P315" s="6" t="n"/>
    </row>
    <row r="316">
      <c r="A316" s="44" t="n"/>
      <c r="B316" s="44" t="inlineStr">
        <is>
          <t xml:space="preserve">Ext. B </t>
        </is>
      </c>
      <c r="C316" s="43" t="n"/>
      <c r="D316" s="43">
        <f>IF(C316="","",IFERROR(_xlfn.XLOOKUP(C316,HELPER!$A$2:$A$76,HELPER!$B$2:$B$76,""),D316))</f>
        <v/>
      </c>
      <c r="E316" s="43">
        <f>IFERROR(_xlfn.XLOOKUP(D316,HELPER!$B:$B,HELPER!$C:$C,""),"")</f>
        <v/>
      </c>
      <c r="F316" s="42">
        <f>IFERROR(_xlfn.XLOOKUP(D316,HELPER!$B:$B,HELPER!$D:$D,""),"")</f>
        <v/>
      </c>
      <c r="G316" s="42" t="n">
        <v>24</v>
      </c>
      <c r="H316" s="556" t="n"/>
      <c r="I316" s="72">
        <f>IF(AND(H316&lt;&gt;"",IFERROR(_xlfn.XLOOKUP(D316,HELPER!$B:$B,HELPER!$E:$E,""),"")=""),"Missing price",IFERROR(_xlfn.XLOOKUP(D316,HELPER!$B:$B,HELPER!$E:$E,"")," "))</f>
        <v/>
      </c>
      <c r="J316" s="72">
        <f>IFERROR(H316*(IF(G316=8,I316*HELPER!$G$2,BOM!I316*HELPER!$G$3))," ")</f>
        <v/>
      </c>
      <c r="K316" s="6" t="n"/>
      <c r="L316" s="14">
        <f t="array" ref="L316">IFERROR(_xlfn.LET(_xlpm.pairs,_xlfn._xlws.FILTER($A$2:$D$391,($A$2:$A$391&lt;&gt;"")*(TRIM($D$2:$D$391)&lt;&gt;"")),_xlpm.uniquePairs,_xlfn.UNIQUE(_xlfn.HSTACK(INDEX(_xlpm.pairs,,1),INDEX(_xlpm.pairs,,4))),_xlpm.sortedPairs,_xlfn._xlws.SORT(_xlpm.uniquePairs,1,1),IF(ROW()-1&lt;=ROWS(_xlpm.sortedPairs),INDEX(_xlpm.sortedPairs,ROW()-1,1),"")),"")</f>
        <v/>
      </c>
      <c r="M316" s="15">
        <f t="array" ref="M316">IFERROR(_xlfn.LET(_xlpm.pairs,_xlfn._xlws.FILTER($A$2:$D$391,($A$2:$A$391&lt;&gt;"")*(TRIM($D$2:$D$391)&lt;&gt;"")),_xlpm.uniquePairs,_xlfn.UNIQUE(_xlfn.HSTACK(INDEX(_xlpm.pairs,,1),INDEX(_xlpm.pairs,,4))),_xlpm.sortedPairs,_xlfn._xlws.SORT(_xlpm.uniquePairs,1,1),IF(ROW()-1&lt;=ROWS(_xlpm.sortedPairs),INDEX(_xlpm.sortedPairs,ROW()-1,2),"")),"")</f>
        <v/>
      </c>
      <c r="N316" s="15">
        <f t="array" ref="N316">IF(OR(L316="",M316=""),"",IFERROR(INDEX($E$2:$E$391,MATCH(1,($A$2:$A$391=L316)*($D$2:$D$391=M316),0)),""))</f>
        <v/>
      </c>
      <c r="O316" s="69">
        <f>IF(OR(L316="",M316=""),"",SUMIFS($J$2:$J$391,$A$2:$A$391,L316,$D$2:$D$391,M316))</f>
        <v/>
      </c>
      <c r="P316" s="6" t="n"/>
    </row>
    <row r="317">
      <c r="A317" s="44" t="n"/>
      <c r="B317" s="44" t="inlineStr">
        <is>
          <t xml:space="preserve">Ext. B </t>
        </is>
      </c>
      <c r="C317" s="43" t="n"/>
      <c r="D317" s="43">
        <f>IF(C317="","",IFERROR(_xlfn.XLOOKUP(C317,HELPER!$A$2:$A$76,HELPER!$B$2:$B$76,""),D317))</f>
        <v/>
      </c>
      <c r="E317" s="43">
        <f>IFERROR(_xlfn.XLOOKUP(D317,HELPER!$B:$B,HELPER!$C:$C,""),"")</f>
        <v/>
      </c>
      <c r="F317" s="42">
        <f>IFERROR(_xlfn.XLOOKUP(D317,HELPER!$B:$B,HELPER!$D:$D,""),"")</f>
        <v/>
      </c>
      <c r="G317" s="42" t="n">
        <v>24</v>
      </c>
      <c r="H317" s="556" t="n"/>
      <c r="I317" s="72">
        <f>IF(AND(H317&lt;&gt;"",IFERROR(_xlfn.XLOOKUP(D317,HELPER!$B:$B,HELPER!$E:$E,""),"")=""),"Missing price",IFERROR(_xlfn.XLOOKUP(D317,HELPER!$B:$B,HELPER!$E:$E,"")," "))</f>
        <v/>
      </c>
      <c r="J317" s="72">
        <f>IFERROR(H317*(IF(G317=8,I317*HELPER!$G$2,BOM!I317*HELPER!$G$3))," ")</f>
        <v/>
      </c>
      <c r="K317" s="6" t="n"/>
      <c r="L317" s="14">
        <f t="array" ref="L317">IFERROR(_xlfn.LET(_xlpm.pairs,_xlfn._xlws.FILTER($A$2:$D$391,($A$2:$A$391&lt;&gt;"")*(TRIM($D$2:$D$391)&lt;&gt;"")),_xlpm.uniquePairs,_xlfn.UNIQUE(_xlfn.HSTACK(INDEX(_xlpm.pairs,,1),INDEX(_xlpm.pairs,,4))),_xlpm.sortedPairs,_xlfn._xlws.SORT(_xlpm.uniquePairs,1,1),IF(ROW()-1&lt;=ROWS(_xlpm.sortedPairs),INDEX(_xlpm.sortedPairs,ROW()-1,1),"")),"")</f>
        <v/>
      </c>
      <c r="M317" s="15">
        <f t="array" ref="M317">IFERROR(_xlfn.LET(_xlpm.pairs,_xlfn._xlws.FILTER($A$2:$D$391,($A$2:$A$391&lt;&gt;"")*(TRIM($D$2:$D$391)&lt;&gt;"")),_xlpm.uniquePairs,_xlfn.UNIQUE(_xlfn.HSTACK(INDEX(_xlpm.pairs,,1),INDEX(_xlpm.pairs,,4))),_xlpm.sortedPairs,_xlfn._xlws.SORT(_xlpm.uniquePairs,1,1),IF(ROW()-1&lt;=ROWS(_xlpm.sortedPairs),INDEX(_xlpm.sortedPairs,ROW()-1,2),"")),"")</f>
        <v/>
      </c>
      <c r="N317" s="15">
        <f t="array" ref="N317">IF(OR(L317="",M317=""),"",IFERROR(INDEX($E$2:$E$391,MATCH(1,($A$2:$A$391=L317)*($D$2:$D$391=M317),0)),""))</f>
        <v/>
      </c>
      <c r="O317" s="69">
        <f>IF(OR(L317="",M317=""),"",SUMIFS($J$2:$J$391,$A$2:$A$391,L317,$D$2:$D$391,M317))</f>
        <v/>
      </c>
      <c r="P317" s="6" t="n"/>
    </row>
    <row r="318">
      <c r="A318" s="44" t="n"/>
      <c r="B318" s="44" t="inlineStr">
        <is>
          <t xml:space="preserve">Ext. B </t>
        </is>
      </c>
      <c r="C318" s="43" t="n"/>
      <c r="D318" s="43">
        <f>IF(C318="","",IFERROR(_xlfn.XLOOKUP(C318,HELPER!$A$2:$A$76,HELPER!$B$2:$B$76,""),D318))</f>
        <v/>
      </c>
      <c r="E318" s="43">
        <f>IFERROR(_xlfn.XLOOKUP(D318,HELPER!$B:$B,HELPER!$C:$C,""),"")</f>
        <v/>
      </c>
      <c r="F318" s="42">
        <f>IFERROR(_xlfn.XLOOKUP(D318,HELPER!$B:$B,HELPER!$D:$D,""),"")</f>
        <v/>
      </c>
      <c r="G318" s="42" t="n">
        <v>24</v>
      </c>
      <c r="H318" s="556" t="n"/>
      <c r="I318" s="72">
        <f>IF(AND(H318&lt;&gt;"",IFERROR(_xlfn.XLOOKUP(D318,HELPER!$B:$B,HELPER!$E:$E,""),"")=""),"Missing price",IFERROR(_xlfn.XLOOKUP(D318,HELPER!$B:$B,HELPER!$E:$E,"")," "))</f>
        <v/>
      </c>
      <c r="J318" s="72">
        <f>IFERROR(H318*(IF(G318=8,I318*HELPER!$G$2,BOM!I318*HELPER!$G$3))," ")</f>
        <v/>
      </c>
      <c r="K318" s="6" t="n"/>
      <c r="L318" s="14">
        <f t="array" ref="L318">IFERROR(_xlfn.LET(_xlpm.pairs,_xlfn._xlws.FILTER($A$2:$D$391,($A$2:$A$391&lt;&gt;"")*(TRIM($D$2:$D$391)&lt;&gt;"")),_xlpm.uniquePairs,_xlfn.UNIQUE(_xlfn.HSTACK(INDEX(_xlpm.pairs,,1),INDEX(_xlpm.pairs,,4))),_xlpm.sortedPairs,_xlfn._xlws.SORT(_xlpm.uniquePairs,1,1),IF(ROW()-1&lt;=ROWS(_xlpm.sortedPairs),INDEX(_xlpm.sortedPairs,ROW()-1,1),"")),"")</f>
        <v/>
      </c>
      <c r="M318" s="15">
        <f t="array" ref="M318">IFERROR(_xlfn.LET(_xlpm.pairs,_xlfn._xlws.FILTER($A$2:$D$391,($A$2:$A$391&lt;&gt;"")*(TRIM($D$2:$D$391)&lt;&gt;"")),_xlpm.uniquePairs,_xlfn.UNIQUE(_xlfn.HSTACK(INDEX(_xlpm.pairs,,1),INDEX(_xlpm.pairs,,4))),_xlpm.sortedPairs,_xlfn._xlws.SORT(_xlpm.uniquePairs,1,1),IF(ROW()-1&lt;=ROWS(_xlpm.sortedPairs),INDEX(_xlpm.sortedPairs,ROW()-1,2),"")),"")</f>
        <v/>
      </c>
      <c r="N318" s="15">
        <f t="array" ref="N318">IF(OR(L318="",M318=""),"",IFERROR(INDEX($E$2:$E$391,MATCH(1,($A$2:$A$391=L318)*($D$2:$D$391=M318),0)),""))</f>
        <v/>
      </c>
      <c r="O318" s="69">
        <f>IF(OR(L318="",M318=""),"",SUMIFS($J$2:$J$391,$A$2:$A$391,L318,$D$2:$D$391,M318))</f>
        <v/>
      </c>
      <c r="P318" s="6" t="n"/>
    </row>
    <row r="319">
      <c r="A319" s="44" t="n"/>
      <c r="B319" s="44" t="inlineStr">
        <is>
          <t xml:space="preserve">Ext. B </t>
        </is>
      </c>
      <c r="C319" s="43" t="n"/>
      <c r="D319" s="43">
        <f>IF(C319="","",IFERROR(_xlfn.XLOOKUP(C319,HELPER!$A$2:$A$76,HELPER!$B$2:$B$76,""),D319))</f>
        <v/>
      </c>
      <c r="E319" s="43">
        <f>IFERROR(_xlfn.XLOOKUP(D319,HELPER!$B:$B,HELPER!$C:$C,""),"")</f>
        <v/>
      </c>
      <c r="F319" s="42">
        <f>IFERROR(_xlfn.XLOOKUP(D319,HELPER!$B:$B,HELPER!$D:$D,""),"")</f>
        <v/>
      </c>
      <c r="G319" s="42" t="n">
        <v>24</v>
      </c>
      <c r="H319" s="556" t="n"/>
      <c r="I319" s="72">
        <f>IF(AND(H319&lt;&gt;"",IFERROR(_xlfn.XLOOKUP(D319,HELPER!$B:$B,HELPER!$E:$E,""),"")=""),"Missing price",IFERROR(_xlfn.XLOOKUP(D319,HELPER!$B:$B,HELPER!$E:$E,"")," "))</f>
        <v/>
      </c>
      <c r="J319" s="72">
        <f>IFERROR(H319*(IF(G319=8,I319*HELPER!$G$2,BOM!I319*HELPER!$G$3))," ")</f>
        <v/>
      </c>
      <c r="K319" s="6" t="n"/>
      <c r="L319" s="14">
        <f t="array" ref="L319">IFERROR(_xlfn.LET(_xlpm.pairs,_xlfn._xlws.FILTER($A$2:$D$391,($A$2:$A$391&lt;&gt;"")*(TRIM($D$2:$D$391)&lt;&gt;"")),_xlpm.uniquePairs,_xlfn.UNIQUE(_xlfn.HSTACK(INDEX(_xlpm.pairs,,1),INDEX(_xlpm.pairs,,4))),_xlpm.sortedPairs,_xlfn._xlws.SORT(_xlpm.uniquePairs,1,1),IF(ROW()-1&lt;=ROWS(_xlpm.sortedPairs),INDEX(_xlpm.sortedPairs,ROW()-1,1),"")),"")</f>
        <v/>
      </c>
      <c r="M319" s="15">
        <f t="array" ref="M319">IFERROR(_xlfn.LET(_xlpm.pairs,_xlfn._xlws.FILTER($A$2:$D$391,($A$2:$A$391&lt;&gt;"")*(TRIM($D$2:$D$391)&lt;&gt;"")),_xlpm.uniquePairs,_xlfn.UNIQUE(_xlfn.HSTACK(INDEX(_xlpm.pairs,,1),INDEX(_xlpm.pairs,,4))),_xlpm.sortedPairs,_xlfn._xlws.SORT(_xlpm.uniquePairs,1,1),IF(ROW()-1&lt;=ROWS(_xlpm.sortedPairs),INDEX(_xlpm.sortedPairs,ROW()-1,2),"")),"")</f>
        <v/>
      </c>
      <c r="N319" s="15">
        <f t="array" ref="N319">IF(OR(L319="",M319=""),"",IFERROR(INDEX($E$2:$E$391,MATCH(1,($A$2:$A$391=L319)*($D$2:$D$391=M319),0)),""))</f>
        <v/>
      </c>
      <c r="O319" s="69">
        <f>IF(OR(L319="",M319=""),"",SUMIFS($J$2:$J$391,$A$2:$A$391,L319,$D$2:$D$391,M319))</f>
        <v/>
      </c>
      <c r="P319" s="6" t="n"/>
    </row>
    <row r="320">
      <c r="A320" s="44" t="n"/>
      <c r="B320" s="44" t="inlineStr">
        <is>
          <t xml:space="preserve">Ext. B </t>
        </is>
      </c>
      <c r="C320" s="43" t="n"/>
      <c r="D320" s="43">
        <f>IF(C320="","",IFERROR(_xlfn.XLOOKUP(C320,HELPER!$A$2:$A$76,HELPER!$B$2:$B$76,""),D320))</f>
        <v/>
      </c>
      <c r="E320" s="43">
        <f>IFERROR(_xlfn.XLOOKUP(D320,HELPER!$B:$B,HELPER!$C:$C,""),"")</f>
        <v/>
      </c>
      <c r="F320" s="42">
        <f>IFERROR(_xlfn.XLOOKUP(D320,HELPER!$B:$B,HELPER!$D:$D,""),"")</f>
        <v/>
      </c>
      <c r="G320" s="42" t="n">
        <v>24</v>
      </c>
      <c r="H320" s="556" t="n"/>
      <c r="I320" s="72">
        <f>IF(AND(H320&lt;&gt;"",IFERROR(_xlfn.XLOOKUP(D320,HELPER!$B:$B,HELPER!$E:$E,""),"")=""),"Missing price",IFERROR(_xlfn.XLOOKUP(D320,HELPER!$B:$B,HELPER!$E:$E,"")," "))</f>
        <v/>
      </c>
      <c r="J320" s="72">
        <f>IFERROR(H320*(IF(G320=8,I320*HELPER!$G$2,BOM!I320*HELPER!$G$3))," ")</f>
        <v/>
      </c>
      <c r="K320" s="6" t="n"/>
      <c r="L320" s="14">
        <f t="array" ref="L320">IFERROR(_xlfn.LET(_xlpm.pairs,_xlfn._xlws.FILTER($A$2:$D$391,($A$2:$A$391&lt;&gt;"")*(TRIM($D$2:$D$391)&lt;&gt;"")),_xlpm.uniquePairs,_xlfn.UNIQUE(_xlfn.HSTACK(INDEX(_xlpm.pairs,,1),INDEX(_xlpm.pairs,,4))),_xlpm.sortedPairs,_xlfn._xlws.SORT(_xlpm.uniquePairs,1,1),IF(ROW()-1&lt;=ROWS(_xlpm.sortedPairs),INDEX(_xlpm.sortedPairs,ROW()-1,1),"")),"")</f>
        <v/>
      </c>
      <c r="M320" s="15">
        <f t="array" ref="M320">IFERROR(_xlfn.LET(_xlpm.pairs,_xlfn._xlws.FILTER($A$2:$D$391,($A$2:$A$391&lt;&gt;"")*(TRIM($D$2:$D$391)&lt;&gt;"")),_xlpm.uniquePairs,_xlfn.UNIQUE(_xlfn.HSTACK(INDEX(_xlpm.pairs,,1),INDEX(_xlpm.pairs,,4))),_xlpm.sortedPairs,_xlfn._xlws.SORT(_xlpm.uniquePairs,1,1),IF(ROW()-1&lt;=ROWS(_xlpm.sortedPairs),INDEX(_xlpm.sortedPairs,ROW()-1,2),"")),"")</f>
        <v/>
      </c>
      <c r="N320" s="15">
        <f t="array" ref="N320">IF(OR(L320="",M320=""),"",IFERROR(INDEX($E$2:$E$391,MATCH(1,($A$2:$A$391=L320)*($D$2:$D$391=M320),0)),""))</f>
        <v/>
      </c>
      <c r="O320" s="69">
        <f>IF(OR(L320="",M320=""),"",SUMIFS($J$2:$J$391,$A$2:$A$391,L320,$D$2:$D$391,M320))</f>
        <v/>
      </c>
      <c r="P320" s="6" t="n"/>
    </row>
    <row r="321">
      <c r="A321" s="44" t="n"/>
      <c r="B321" s="44" t="inlineStr">
        <is>
          <t xml:space="preserve">Ext. B </t>
        </is>
      </c>
      <c r="C321" s="43" t="n"/>
      <c r="D321" s="43">
        <f>IF(C321="","",IFERROR(_xlfn.XLOOKUP(C321,HELPER!$A$2:$A$76,HELPER!$B$2:$B$76,""),D321))</f>
        <v/>
      </c>
      <c r="E321" s="43">
        <f>IFERROR(_xlfn.XLOOKUP(D321,HELPER!$B:$B,HELPER!$C:$C,""),"")</f>
        <v/>
      </c>
      <c r="F321" s="42">
        <f>IFERROR(_xlfn.XLOOKUP(D321,HELPER!$B:$B,HELPER!$D:$D,""),"")</f>
        <v/>
      </c>
      <c r="G321" s="42" t="n">
        <v>24</v>
      </c>
      <c r="H321" s="556" t="n"/>
      <c r="I321" s="72">
        <f>IF(AND(H321&lt;&gt;"",IFERROR(_xlfn.XLOOKUP(D321,HELPER!$B:$B,HELPER!$E:$E,""),"")=""),"Missing price",IFERROR(_xlfn.XLOOKUP(D321,HELPER!$B:$B,HELPER!$E:$E,"")," "))</f>
        <v/>
      </c>
      <c r="J321" s="72">
        <f>IFERROR(H321*(IF(G321=8,I321*HELPER!$G$2,BOM!I321*HELPER!$G$3))," ")</f>
        <v/>
      </c>
      <c r="K321" s="6" t="n"/>
      <c r="L321" s="14">
        <f t="array" ref="L321">IFERROR(_xlfn.LET(_xlpm.pairs,_xlfn._xlws.FILTER($A$2:$D$391,($A$2:$A$391&lt;&gt;"")*(TRIM($D$2:$D$391)&lt;&gt;"")),_xlpm.uniquePairs,_xlfn.UNIQUE(_xlfn.HSTACK(INDEX(_xlpm.pairs,,1),INDEX(_xlpm.pairs,,4))),_xlpm.sortedPairs,_xlfn._xlws.SORT(_xlpm.uniquePairs,1,1),IF(ROW()-1&lt;=ROWS(_xlpm.sortedPairs),INDEX(_xlpm.sortedPairs,ROW()-1,1),"")),"")</f>
        <v/>
      </c>
      <c r="M321" s="15">
        <f t="array" ref="M321">IFERROR(_xlfn.LET(_xlpm.pairs,_xlfn._xlws.FILTER($A$2:$D$391,($A$2:$A$391&lt;&gt;"")*(TRIM($D$2:$D$391)&lt;&gt;"")),_xlpm.uniquePairs,_xlfn.UNIQUE(_xlfn.HSTACK(INDEX(_xlpm.pairs,,1),INDEX(_xlpm.pairs,,4))),_xlpm.sortedPairs,_xlfn._xlws.SORT(_xlpm.uniquePairs,1,1),IF(ROW()-1&lt;=ROWS(_xlpm.sortedPairs),INDEX(_xlpm.sortedPairs,ROW()-1,2),"")),"")</f>
        <v/>
      </c>
      <c r="N321" s="15">
        <f t="array" ref="N321">IF(OR(L321="",M321=""),"",IFERROR(INDEX($E$2:$E$391,MATCH(1,($A$2:$A$391=L321)*($D$2:$D$391=M321),0)),""))</f>
        <v/>
      </c>
      <c r="O321" s="69">
        <f>IF(OR(L321="",M321=""),"",SUMIFS($J$2:$J$391,$A$2:$A$391,L321,$D$2:$D$391,M321))</f>
        <v/>
      </c>
      <c r="P321" s="6" t="n"/>
    </row>
    <row r="322">
      <c r="A322" s="44" t="n"/>
      <c r="B322" s="44" t="inlineStr">
        <is>
          <t>Ext. C (In)</t>
        </is>
      </c>
      <c r="C322" s="43" t="n"/>
      <c r="D322" s="43">
        <f>IF(C322="","",IFERROR(_xlfn.XLOOKUP(C322,HELPER!$A$2:$A$76,HELPER!$B$2:$B$76,""),D322))</f>
        <v/>
      </c>
      <c r="E322" s="43">
        <f>IFERROR(_xlfn.XLOOKUP(D322,HELPER!$B:$B,HELPER!$C:$C,""),"")</f>
        <v/>
      </c>
      <c r="F322" s="42">
        <f>IFERROR(_xlfn.XLOOKUP(D322,HELPER!$B:$B,HELPER!$D:$D,""),"")</f>
        <v/>
      </c>
      <c r="G322" s="42" t="n">
        <v>8</v>
      </c>
      <c r="H322" s="556" t="n"/>
      <c r="I322" s="72">
        <f>IF(AND(H322&lt;&gt;"",IFERROR(_xlfn.XLOOKUP(D322,HELPER!$B:$B,HELPER!$E:$E,""),"")=""),"Missing price",IFERROR(_xlfn.XLOOKUP(D322,HELPER!$B:$B,HELPER!$E:$E,"")," "))</f>
        <v/>
      </c>
      <c r="J322" s="72">
        <f>IFERROR(H322*(IF(G322=8,I322*HELPER!$G$2,BOM!I322*HELPER!$G$3))," ")</f>
        <v/>
      </c>
      <c r="K322" s="6" t="n"/>
      <c r="L322" s="14">
        <f t="array" ref="L322">IFERROR(_xlfn.LET(_xlpm.pairs,_xlfn._xlws.FILTER($A$2:$D$391,($A$2:$A$391&lt;&gt;"")*(TRIM($D$2:$D$391)&lt;&gt;"")),_xlpm.uniquePairs,_xlfn.UNIQUE(_xlfn.HSTACK(INDEX(_xlpm.pairs,,1),INDEX(_xlpm.pairs,,4))),_xlpm.sortedPairs,_xlfn._xlws.SORT(_xlpm.uniquePairs,1,1),IF(ROW()-1&lt;=ROWS(_xlpm.sortedPairs),INDEX(_xlpm.sortedPairs,ROW()-1,1),"")),"")</f>
        <v/>
      </c>
      <c r="M322" s="15">
        <f t="array" ref="M322">IFERROR(_xlfn.LET(_xlpm.pairs,_xlfn._xlws.FILTER($A$2:$D$391,($A$2:$A$391&lt;&gt;"")*(TRIM($D$2:$D$391)&lt;&gt;"")),_xlpm.uniquePairs,_xlfn.UNIQUE(_xlfn.HSTACK(INDEX(_xlpm.pairs,,1),INDEX(_xlpm.pairs,,4))),_xlpm.sortedPairs,_xlfn._xlws.SORT(_xlpm.uniquePairs,1,1),IF(ROW()-1&lt;=ROWS(_xlpm.sortedPairs),INDEX(_xlpm.sortedPairs,ROW()-1,2),"")),"")</f>
        <v/>
      </c>
      <c r="N322" s="15">
        <f t="array" ref="N322">IF(OR(L322="",M322=""),"",IFERROR(INDEX($E$2:$E$391,MATCH(1,($A$2:$A$391=L322)*($D$2:$D$391=M322),0)),""))</f>
        <v/>
      </c>
      <c r="O322" s="69">
        <f>IF(OR(L322="",M322=""),"",SUMIFS($J$2:$J$391,$A$2:$A$391,L322,$D$2:$D$391,M322))</f>
        <v/>
      </c>
      <c r="P322" s="6" t="n"/>
    </row>
    <row r="323">
      <c r="A323" s="44" t="n"/>
      <c r="B323" s="44" t="inlineStr">
        <is>
          <t>Ext. C (In)</t>
        </is>
      </c>
      <c r="C323" s="43" t="n"/>
      <c r="D323" s="43">
        <f>IF(C323="","",IFERROR(_xlfn.XLOOKUP(C323,HELPER!$A$2:$A$76,HELPER!$B$2:$B$76,""),D323))</f>
        <v/>
      </c>
      <c r="E323" s="43">
        <f>IFERROR(_xlfn.XLOOKUP(D323,HELPER!$B:$B,HELPER!$C:$C,""),"")</f>
        <v/>
      </c>
      <c r="F323" s="42">
        <f>IFERROR(_xlfn.XLOOKUP(D323,HELPER!$B:$B,HELPER!$D:$D,""),"")</f>
        <v/>
      </c>
      <c r="G323" s="42" t="n">
        <v>8</v>
      </c>
      <c r="H323" s="556" t="n"/>
      <c r="I323" s="72">
        <f>IF(AND(H323&lt;&gt;"",IFERROR(_xlfn.XLOOKUP(D323,HELPER!$B:$B,HELPER!$E:$E,""),"")=""),"Missing price",IFERROR(_xlfn.XLOOKUP(D323,HELPER!$B:$B,HELPER!$E:$E,"")," "))</f>
        <v/>
      </c>
      <c r="J323" s="72">
        <f>IFERROR(H323*(IF(G323=8,I323*HELPER!$G$2,BOM!I323*HELPER!$G$3))," ")</f>
        <v/>
      </c>
      <c r="K323" s="6" t="n"/>
      <c r="L323" s="14">
        <f t="array" ref="L323">IFERROR(_xlfn.LET(_xlpm.pairs,_xlfn._xlws.FILTER($A$2:$D$391,($A$2:$A$391&lt;&gt;"")*(TRIM($D$2:$D$391)&lt;&gt;"")),_xlpm.uniquePairs,_xlfn.UNIQUE(_xlfn.HSTACK(INDEX(_xlpm.pairs,,1),INDEX(_xlpm.pairs,,4))),_xlpm.sortedPairs,_xlfn._xlws.SORT(_xlpm.uniquePairs,1,1),IF(ROW()-1&lt;=ROWS(_xlpm.sortedPairs),INDEX(_xlpm.sortedPairs,ROW()-1,1),"")),"")</f>
        <v/>
      </c>
      <c r="M323" s="15">
        <f t="array" ref="M323">IFERROR(_xlfn.LET(_xlpm.pairs,_xlfn._xlws.FILTER($A$2:$D$391,($A$2:$A$391&lt;&gt;"")*(TRIM($D$2:$D$391)&lt;&gt;"")),_xlpm.uniquePairs,_xlfn.UNIQUE(_xlfn.HSTACK(INDEX(_xlpm.pairs,,1),INDEX(_xlpm.pairs,,4))),_xlpm.sortedPairs,_xlfn._xlws.SORT(_xlpm.uniquePairs,1,1),IF(ROW()-1&lt;=ROWS(_xlpm.sortedPairs),INDEX(_xlpm.sortedPairs,ROW()-1,2),"")),"")</f>
        <v/>
      </c>
      <c r="N323" s="15">
        <f t="array" ref="N323">IF(OR(L323="",M323=""),"",IFERROR(INDEX($E$2:$E$391,MATCH(1,($A$2:$A$391=L323)*($D$2:$D$391=M323),0)),""))</f>
        <v/>
      </c>
      <c r="O323" s="69">
        <f>IF(OR(L323="",M323=""),"",SUMIFS($J$2:$J$391,$A$2:$A$391,L323,$D$2:$D$391,M323))</f>
        <v/>
      </c>
      <c r="P323" s="6" t="n"/>
    </row>
    <row r="324">
      <c r="A324" s="44" t="n"/>
      <c r="B324" s="44" t="inlineStr">
        <is>
          <t>Ext. C (In)</t>
        </is>
      </c>
      <c r="C324" s="43" t="n"/>
      <c r="D324" s="43">
        <f>IF(C324="","",IFERROR(_xlfn.XLOOKUP(C324,HELPER!$A$2:$A$76,HELPER!$B$2:$B$76,""),D324))</f>
        <v/>
      </c>
      <c r="E324" s="43">
        <f>IFERROR(_xlfn.XLOOKUP(D324,HELPER!$B:$B,HELPER!$C:$C,""),"")</f>
        <v/>
      </c>
      <c r="F324" s="42">
        <f>IFERROR(_xlfn.XLOOKUP(D324,HELPER!$B:$B,HELPER!$D:$D,""),"")</f>
        <v/>
      </c>
      <c r="G324" s="42" t="n">
        <v>8</v>
      </c>
      <c r="H324" s="556" t="n"/>
      <c r="I324" s="72">
        <f>IF(AND(H324&lt;&gt;"",IFERROR(_xlfn.XLOOKUP(D324,HELPER!$B:$B,HELPER!$E:$E,""),"")=""),"Missing price",IFERROR(_xlfn.XLOOKUP(D324,HELPER!$B:$B,HELPER!$E:$E,"")," "))</f>
        <v/>
      </c>
      <c r="J324" s="72">
        <f>IFERROR(H324*(IF(G324=8,I324*HELPER!$G$2,BOM!I324*HELPER!$G$3))," ")</f>
        <v/>
      </c>
      <c r="K324" s="6" t="n"/>
      <c r="L324" s="14">
        <f t="array" ref="L324">IFERROR(_xlfn.LET(_xlpm.pairs,_xlfn._xlws.FILTER($A$2:$D$391,($A$2:$A$391&lt;&gt;"")*(TRIM($D$2:$D$391)&lt;&gt;"")),_xlpm.uniquePairs,_xlfn.UNIQUE(_xlfn.HSTACK(INDEX(_xlpm.pairs,,1),INDEX(_xlpm.pairs,,4))),_xlpm.sortedPairs,_xlfn._xlws.SORT(_xlpm.uniquePairs,1,1),IF(ROW()-1&lt;=ROWS(_xlpm.sortedPairs),INDEX(_xlpm.sortedPairs,ROW()-1,1),"")),"")</f>
        <v/>
      </c>
      <c r="M324" s="15">
        <f t="array" ref="M324">IFERROR(_xlfn.LET(_xlpm.pairs,_xlfn._xlws.FILTER($A$2:$D$391,($A$2:$A$391&lt;&gt;"")*(TRIM($D$2:$D$391)&lt;&gt;"")),_xlpm.uniquePairs,_xlfn.UNIQUE(_xlfn.HSTACK(INDEX(_xlpm.pairs,,1),INDEX(_xlpm.pairs,,4))),_xlpm.sortedPairs,_xlfn._xlws.SORT(_xlpm.uniquePairs,1,1),IF(ROW()-1&lt;=ROWS(_xlpm.sortedPairs),INDEX(_xlpm.sortedPairs,ROW()-1,2),"")),"")</f>
        <v/>
      </c>
      <c r="N324" s="15">
        <f t="array" ref="N324">IF(OR(L324="",M324=""),"",IFERROR(INDEX($E$2:$E$391,MATCH(1,($A$2:$A$391=L324)*($D$2:$D$391=M324),0)),""))</f>
        <v/>
      </c>
      <c r="O324" s="69">
        <f>IF(OR(L324="",M324=""),"",SUMIFS($J$2:$J$391,$A$2:$A$391,L324,$D$2:$D$391,M324))</f>
        <v/>
      </c>
      <c r="P324" s="6" t="n"/>
    </row>
    <row r="325">
      <c r="A325" s="44" t="n"/>
      <c r="B325" s="44" t="inlineStr">
        <is>
          <t>Ext. C (In)</t>
        </is>
      </c>
      <c r="C325" s="43" t="n"/>
      <c r="D325" s="43">
        <f>IF(C325="","",IFERROR(_xlfn.XLOOKUP(C325,HELPER!$A$2:$A$76,HELPER!$B$2:$B$76,""),D325))</f>
        <v/>
      </c>
      <c r="E325" s="43">
        <f>IFERROR(_xlfn.XLOOKUP(D325,HELPER!$B:$B,HELPER!$C:$C,""),"")</f>
        <v/>
      </c>
      <c r="F325" s="42">
        <f>IFERROR(_xlfn.XLOOKUP(D325,HELPER!$B:$B,HELPER!$D:$D,""),"")</f>
        <v/>
      </c>
      <c r="G325" s="42" t="n">
        <v>8</v>
      </c>
      <c r="H325" s="556" t="n"/>
      <c r="I325" s="72">
        <f>IF(AND(H325&lt;&gt;"",IFERROR(_xlfn.XLOOKUP(D325,HELPER!$B:$B,HELPER!$E:$E,""),"")=""),"Missing price",IFERROR(_xlfn.XLOOKUP(D325,HELPER!$B:$B,HELPER!$E:$E,"")," "))</f>
        <v/>
      </c>
      <c r="J325" s="72">
        <f>IFERROR(H325*(IF(G325=8,I325*HELPER!$G$2,BOM!I325*HELPER!$G$3))," ")</f>
        <v/>
      </c>
      <c r="K325" s="6" t="n"/>
      <c r="L325" s="14">
        <f t="array" ref="L325">IFERROR(_xlfn.LET(_xlpm.pairs,_xlfn._xlws.FILTER($A$2:$D$391,($A$2:$A$391&lt;&gt;"")*(TRIM($D$2:$D$391)&lt;&gt;"")),_xlpm.uniquePairs,_xlfn.UNIQUE(_xlfn.HSTACK(INDEX(_xlpm.pairs,,1),INDEX(_xlpm.pairs,,4))),_xlpm.sortedPairs,_xlfn._xlws.SORT(_xlpm.uniquePairs,1,1),IF(ROW()-1&lt;=ROWS(_xlpm.sortedPairs),INDEX(_xlpm.sortedPairs,ROW()-1,1),"")),"")</f>
        <v/>
      </c>
      <c r="M325" s="15">
        <f t="array" ref="M325">IFERROR(_xlfn.LET(_xlpm.pairs,_xlfn._xlws.FILTER($A$2:$D$391,($A$2:$A$391&lt;&gt;"")*(TRIM($D$2:$D$391)&lt;&gt;"")),_xlpm.uniquePairs,_xlfn.UNIQUE(_xlfn.HSTACK(INDEX(_xlpm.pairs,,1),INDEX(_xlpm.pairs,,4))),_xlpm.sortedPairs,_xlfn._xlws.SORT(_xlpm.uniquePairs,1,1),IF(ROW()-1&lt;=ROWS(_xlpm.sortedPairs),INDEX(_xlpm.sortedPairs,ROW()-1,2),"")),"")</f>
        <v/>
      </c>
      <c r="N325" s="15">
        <f t="array" ref="N325">IF(OR(L325="",M325=""),"",IFERROR(INDEX($E$2:$E$391,MATCH(1,($A$2:$A$391=L325)*($D$2:$D$391=M325),0)),""))</f>
        <v/>
      </c>
      <c r="O325" s="69">
        <f>IF(OR(L325="",M325=""),"",SUMIFS($J$2:$J$391,$A$2:$A$391,L325,$D$2:$D$391,M325))</f>
        <v/>
      </c>
      <c r="P325" s="6" t="n"/>
    </row>
    <row r="326">
      <c r="A326" s="44" t="n"/>
      <c r="B326" s="44" t="inlineStr">
        <is>
          <t>Ext. C (In)</t>
        </is>
      </c>
      <c r="C326" s="43" t="n"/>
      <c r="D326" s="43">
        <f>IF(C326="","",IFERROR(_xlfn.XLOOKUP(C326,HELPER!$A$2:$A$76,HELPER!$B$2:$B$76,""),D326))</f>
        <v/>
      </c>
      <c r="E326" s="43">
        <f>IFERROR(_xlfn.XLOOKUP(D326,HELPER!$B:$B,HELPER!$C:$C,""),"")</f>
        <v/>
      </c>
      <c r="F326" s="42">
        <f>IFERROR(_xlfn.XLOOKUP(D326,HELPER!$B:$B,HELPER!$D:$D,""),"")</f>
        <v/>
      </c>
      <c r="G326" s="42" t="n">
        <v>8</v>
      </c>
      <c r="H326" s="556" t="n"/>
      <c r="I326" s="72">
        <f>IF(AND(H326&lt;&gt;"",IFERROR(_xlfn.XLOOKUP(D326,HELPER!$B:$B,HELPER!$E:$E,""),"")=""),"Missing price",IFERROR(_xlfn.XLOOKUP(D326,HELPER!$B:$B,HELPER!$E:$E,"")," "))</f>
        <v/>
      </c>
      <c r="J326" s="72">
        <f>IFERROR(H326*(IF(G326=8,I326*HELPER!$G$2,BOM!I326*HELPER!$G$3))," ")</f>
        <v/>
      </c>
      <c r="K326" s="6" t="n"/>
      <c r="L326" s="14">
        <f t="array" ref="L326">IFERROR(_xlfn.LET(_xlpm.pairs,_xlfn._xlws.FILTER($A$2:$D$391,($A$2:$A$391&lt;&gt;"")*(TRIM($D$2:$D$391)&lt;&gt;"")),_xlpm.uniquePairs,_xlfn.UNIQUE(_xlfn.HSTACK(INDEX(_xlpm.pairs,,1),INDEX(_xlpm.pairs,,4))),_xlpm.sortedPairs,_xlfn._xlws.SORT(_xlpm.uniquePairs,1,1),IF(ROW()-1&lt;=ROWS(_xlpm.sortedPairs),INDEX(_xlpm.sortedPairs,ROW()-1,1),"")),"")</f>
        <v/>
      </c>
      <c r="M326" s="15">
        <f t="array" ref="M326">IFERROR(_xlfn.LET(_xlpm.pairs,_xlfn._xlws.FILTER($A$2:$D$391,($A$2:$A$391&lt;&gt;"")*(TRIM($D$2:$D$391)&lt;&gt;"")),_xlpm.uniquePairs,_xlfn.UNIQUE(_xlfn.HSTACK(INDEX(_xlpm.pairs,,1),INDEX(_xlpm.pairs,,4))),_xlpm.sortedPairs,_xlfn._xlws.SORT(_xlpm.uniquePairs,1,1),IF(ROW()-1&lt;=ROWS(_xlpm.sortedPairs),INDEX(_xlpm.sortedPairs,ROW()-1,2),"")),"")</f>
        <v/>
      </c>
      <c r="N326" s="15">
        <f t="array" ref="N326">IF(OR(L326="",M326=""),"",IFERROR(INDEX($E$2:$E$391,MATCH(1,($A$2:$A$391=L326)*($D$2:$D$391=M326),0)),""))</f>
        <v/>
      </c>
      <c r="O326" s="69">
        <f>IF(OR(L326="",M326=""),"",SUMIFS($J$2:$J$391,$A$2:$A$391,L326,$D$2:$D$391,M326))</f>
        <v/>
      </c>
      <c r="P326" s="6" t="n"/>
    </row>
    <row r="327">
      <c r="A327" s="44" t="n"/>
      <c r="B327" s="44" t="inlineStr">
        <is>
          <t>Ext. C (In)</t>
        </is>
      </c>
      <c r="C327" s="43" t="n"/>
      <c r="D327" s="43">
        <f>IF(C327="","",IFERROR(_xlfn.XLOOKUP(C327,HELPER!$A$2:$A$76,HELPER!$B$2:$B$76,""),D327))</f>
        <v/>
      </c>
      <c r="E327" s="43">
        <f>IFERROR(_xlfn.XLOOKUP(D327,HELPER!$B:$B,HELPER!$C:$C,""),"")</f>
        <v/>
      </c>
      <c r="F327" s="42">
        <f>IFERROR(_xlfn.XLOOKUP(D327,HELPER!$B:$B,HELPER!$D:$D,""),"")</f>
        <v/>
      </c>
      <c r="G327" s="42" t="n">
        <v>8</v>
      </c>
      <c r="H327" s="556" t="n"/>
      <c r="I327" s="72">
        <f>IF(AND(H327&lt;&gt;"",IFERROR(_xlfn.XLOOKUP(D327,HELPER!$B:$B,HELPER!$E:$E,""),"")=""),"Missing price",IFERROR(_xlfn.XLOOKUP(D327,HELPER!$B:$B,HELPER!$E:$E,"")," "))</f>
        <v/>
      </c>
      <c r="J327" s="72">
        <f>IFERROR(H327*(IF(G327=8,I327*HELPER!$G$2,BOM!I327*HELPER!$G$3))," ")</f>
        <v/>
      </c>
      <c r="K327" s="6" t="n"/>
      <c r="L327" s="14">
        <f t="array" ref="L327">IFERROR(_xlfn.LET(_xlpm.pairs,_xlfn._xlws.FILTER($A$2:$D$391,($A$2:$A$391&lt;&gt;"")*(TRIM($D$2:$D$391)&lt;&gt;"")),_xlpm.uniquePairs,_xlfn.UNIQUE(_xlfn.HSTACK(INDEX(_xlpm.pairs,,1),INDEX(_xlpm.pairs,,4))),_xlpm.sortedPairs,_xlfn._xlws.SORT(_xlpm.uniquePairs,1,1),IF(ROW()-1&lt;=ROWS(_xlpm.sortedPairs),INDEX(_xlpm.sortedPairs,ROW()-1,1),"")),"")</f>
        <v/>
      </c>
      <c r="M327" s="15">
        <f t="array" ref="M327">IFERROR(_xlfn.LET(_xlpm.pairs,_xlfn._xlws.FILTER($A$2:$D$391,($A$2:$A$391&lt;&gt;"")*(TRIM($D$2:$D$391)&lt;&gt;"")),_xlpm.uniquePairs,_xlfn.UNIQUE(_xlfn.HSTACK(INDEX(_xlpm.pairs,,1),INDEX(_xlpm.pairs,,4))),_xlpm.sortedPairs,_xlfn._xlws.SORT(_xlpm.uniquePairs,1,1),IF(ROW()-1&lt;=ROWS(_xlpm.sortedPairs),INDEX(_xlpm.sortedPairs,ROW()-1,2),"")),"")</f>
        <v/>
      </c>
      <c r="N327" s="15">
        <f t="array" ref="N327">IF(OR(L327="",M327=""),"",IFERROR(INDEX($E$2:$E$391,MATCH(1,($A$2:$A$391=L327)*($D$2:$D$391=M327),0)),""))</f>
        <v/>
      </c>
      <c r="O327" s="69">
        <f>IF(OR(L327="",M327=""),"",SUMIFS($J$2:$J$391,$A$2:$A$391,L327,$D$2:$D$391,M327))</f>
        <v/>
      </c>
      <c r="P327" s="6" t="n"/>
    </row>
    <row r="328">
      <c r="A328" s="44" t="n"/>
      <c r="B328" s="44" t="inlineStr">
        <is>
          <t>Ext. C (In)</t>
        </is>
      </c>
      <c r="C328" s="43" t="n"/>
      <c r="D328" s="43">
        <f>IF(C328="","",IFERROR(_xlfn.XLOOKUP(C328,HELPER!$A$2:$A$76,HELPER!$B$2:$B$76,""),D328))</f>
        <v/>
      </c>
      <c r="E328" s="43">
        <f>IFERROR(_xlfn.XLOOKUP(D328,HELPER!$B:$B,HELPER!$C:$C,""),"")</f>
        <v/>
      </c>
      <c r="F328" s="42">
        <f>IFERROR(_xlfn.XLOOKUP(D328,HELPER!$B:$B,HELPER!$D:$D,""),"")</f>
        <v/>
      </c>
      <c r="G328" s="42" t="n">
        <v>8</v>
      </c>
      <c r="H328" s="556" t="n"/>
      <c r="I328" s="72">
        <f>IF(AND(H328&lt;&gt;"",IFERROR(_xlfn.XLOOKUP(D328,HELPER!$B:$B,HELPER!$E:$E,""),"")=""),"Missing price",IFERROR(_xlfn.XLOOKUP(D328,HELPER!$B:$B,HELPER!$E:$E,"")," "))</f>
        <v/>
      </c>
      <c r="J328" s="72">
        <f>IFERROR(H328*(IF(G328=8,I328*HELPER!$G$2,BOM!I328*HELPER!$G$3))," ")</f>
        <v/>
      </c>
      <c r="K328" s="6" t="n"/>
      <c r="L328" s="14">
        <f t="array" ref="L328">IFERROR(_xlfn.LET(_xlpm.pairs,_xlfn._xlws.FILTER($A$2:$D$391,($A$2:$A$391&lt;&gt;"")*(TRIM($D$2:$D$391)&lt;&gt;"")),_xlpm.uniquePairs,_xlfn.UNIQUE(_xlfn.HSTACK(INDEX(_xlpm.pairs,,1),INDEX(_xlpm.pairs,,4))),_xlpm.sortedPairs,_xlfn._xlws.SORT(_xlpm.uniquePairs,1,1),IF(ROW()-1&lt;=ROWS(_xlpm.sortedPairs),INDEX(_xlpm.sortedPairs,ROW()-1,1),"")),"")</f>
        <v/>
      </c>
      <c r="M328" s="15">
        <f t="array" ref="M328">IFERROR(_xlfn.LET(_xlpm.pairs,_xlfn._xlws.FILTER($A$2:$D$391,($A$2:$A$391&lt;&gt;"")*(TRIM($D$2:$D$391)&lt;&gt;"")),_xlpm.uniquePairs,_xlfn.UNIQUE(_xlfn.HSTACK(INDEX(_xlpm.pairs,,1),INDEX(_xlpm.pairs,,4))),_xlpm.sortedPairs,_xlfn._xlws.SORT(_xlpm.uniquePairs,1,1),IF(ROW()-1&lt;=ROWS(_xlpm.sortedPairs),INDEX(_xlpm.sortedPairs,ROW()-1,2),"")),"")</f>
        <v/>
      </c>
      <c r="N328" s="15">
        <f t="array" ref="N328">IF(OR(L328="",M328=""),"",IFERROR(INDEX($E$2:$E$391,MATCH(1,($A$2:$A$391=L328)*($D$2:$D$391=M328),0)),""))</f>
        <v/>
      </c>
      <c r="O328" s="69">
        <f>IF(OR(L328="",M328=""),"",SUMIFS($J$2:$J$391,$A$2:$A$391,L328,$D$2:$D$391,M328))</f>
        <v/>
      </c>
      <c r="P328" s="6" t="n"/>
    </row>
    <row r="329">
      <c r="A329" s="44" t="n"/>
      <c r="B329" s="44" t="inlineStr">
        <is>
          <t>Ext. C (In)</t>
        </is>
      </c>
      <c r="C329" s="43" t="n"/>
      <c r="D329" s="43">
        <f>IF(C329="","",IFERROR(_xlfn.XLOOKUP(C329,HELPER!$A$2:$A$76,HELPER!$B$2:$B$76,""),D329))</f>
        <v/>
      </c>
      <c r="E329" s="43">
        <f>IFERROR(_xlfn.XLOOKUP(D329,HELPER!$B:$B,HELPER!$C:$C,""),"")</f>
        <v/>
      </c>
      <c r="F329" s="42">
        <f>IFERROR(_xlfn.XLOOKUP(D329,HELPER!$B:$B,HELPER!$D:$D,""),"")</f>
        <v/>
      </c>
      <c r="G329" s="42" t="n">
        <v>8</v>
      </c>
      <c r="H329" s="556" t="n"/>
      <c r="I329" s="72">
        <f>IF(AND(H329&lt;&gt;"",IFERROR(_xlfn.XLOOKUP(D329,HELPER!$B:$B,HELPER!$E:$E,""),"")=""),"Missing price",IFERROR(_xlfn.XLOOKUP(D329,HELPER!$B:$B,HELPER!$E:$E,"")," "))</f>
        <v/>
      </c>
      <c r="J329" s="72">
        <f>IFERROR(H329*(IF(G329=8,I329*HELPER!$G$2,BOM!I329*HELPER!$G$3))," ")</f>
        <v/>
      </c>
      <c r="K329" s="6" t="n"/>
      <c r="L329" s="14">
        <f t="array" ref="L329">IFERROR(_xlfn.LET(_xlpm.pairs,_xlfn._xlws.FILTER($A$2:$D$391,($A$2:$A$391&lt;&gt;"")*(TRIM($D$2:$D$391)&lt;&gt;"")),_xlpm.uniquePairs,_xlfn.UNIQUE(_xlfn.HSTACK(INDEX(_xlpm.pairs,,1),INDEX(_xlpm.pairs,,4))),_xlpm.sortedPairs,_xlfn._xlws.SORT(_xlpm.uniquePairs,1,1),IF(ROW()-1&lt;=ROWS(_xlpm.sortedPairs),INDEX(_xlpm.sortedPairs,ROW()-1,1),"")),"")</f>
        <v/>
      </c>
      <c r="M329" s="15">
        <f t="array" ref="M329">IFERROR(_xlfn.LET(_xlpm.pairs,_xlfn._xlws.FILTER($A$2:$D$391,($A$2:$A$391&lt;&gt;"")*(TRIM($D$2:$D$391)&lt;&gt;"")),_xlpm.uniquePairs,_xlfn.UNIQUE(_xlfn.HSTACK(INDEX(_xlpm.pairs,,1),INDEX(_xlpm.pairs,,4))),_xlpm.sortedPairs,_xlfn._xlws.SORT(_xlpm.uniquePairs,1,1),IF(ROW()-1&lt;=ROWS(_xlpm.sortedPairs),INDEX(_xlpm.sortedPairs,ROW()-1,2),"")),"")</f>
        <v/>
      </c>
      <c r="N329" s="15">
        <f t="array" ref="N329">IF(OR(L329="",M329=""),"",IFERROR(INDEX($E$2:$E$391,MATCH(1,($A$2:$A$391=L329)*($D$2:$D$391=M329),0)),""))</f>
        <v/>
      </c>
      <c r="O329" s="69">
        <f>IF(OR(L329="",M329=""),"",SUMIFS($J$2:$J$391,$A$2:$A$391,L329,$D$2:$D$391,M329))</f>
        <v/>
      </c>
      <c r="P329" s="6" t="n"/>
    </row>
    <row r="330">
      <c r="A330" s="44" t="n"/>
      <c r="B330" s="44" t="inlineStr">
        <is>
          <t>Ext. C (In)</t>
        </is>
      </c>
      <c r="C330" s="43" t="n"/>
      <c r="D330" s="43">
        <f>IF(C330="","",IFERROR(_xlfn.XLOOKUP(C330,HELPER!$A$2:$A$76,HELPER!$B$2:$B$76,""),D330))</f>
        <v/>
      </c>
      <c r="E330" s="43">
        <f>IFERROR(_xlfn.XLOOKUP(D330,HELPER!$B:$B,HELPER!$C:$C,""),"")</f>
        <v/>
      </c>
      <c r="F330" s="42">
        <f>IFERROR(_xlfn.XLOOKUP(D330,HELPER!$B:$B,HELPER!$D:$D,""),"")</f>
        <v/>
      </c>
      <c r="G330" s="42" t="n">
        <v>8</v>
      </c>
      <c r="H330" s="556" t="n"/>
      <c r="I330" s="72">
        <f>IF(AND(H330&lt;&gt;"",IFERROR(_xlfn.XLOOKUP(D330,HELPER!$B:$B,HELPER!$E:$E,""),"")=""),"Missing price",IFERROR(_xlfn.XLOOKUP(D330,HELPER!$B:$B,HELPER!$E:$E,"")," "))</f>
        <v/>
      </c>
      <c r="J330" s="72">
        <f>IFERROR(H330*(IF(G330=8,I330*HELPER!$G$2,BOM!I330*HELPER!$G$3))," ")</f>
        <v/>
      </c>
      <c r="K330" s="6" t="n"/>
      <c r="L330" s="14">
        <f t="array" ref="L330">IFERROR(_xlfn.LET(_xlpm.pairs,_xlfn._xlws.FILTER($A$2:$D$391,($A$2:$A$391&lt;&gt;"")*(TRIM($D$2:$D$391)&lt;&gt;"")),_xlpm.uniquePairs,_xlfn.UNIQUE(_xlfn.HSTACK(INDEX(_xlpm.pairs,,1),INDEX(_xlpm.pairs,,4))),_xlpm.sortedPairs,_xlfn._xlws.SORT(_xlpm.uniquePairs,1,1),IF(ROW()-1&lt;=ROWS(_xlpm.sortedPairs),INDEX(_xlpm.sortedPairs,ROW()-1,1),"")),"")</f>
        <v/>
      </c>
      <c r="M330" s="15">
        <f t="array" ref="M330">IFERROR(_xlfn.LET(_xlpm.pairs,_xlfn._xlws.FILTER($A$2:$D$391,($A$2:$A$391&lt;&gt;"")*(TRIM($D$2:$D$391)&lt;&gt;"")),_xlpm.uniquePairs,_xlfn.UNIQUE(_xlfn.HSTACK(INDEX(_xlpm.pairs,,1),INDEX(_xlpm.pairs,,4))),_xlpm.sortedPairs,_xlfn._xlws.SORT(_xlpm.uniquePairs,1,1),IF(ROW()-1&lt;=ROWS(_xlpm.sortedPairs),INDEX(_xlpm.sortedPairs,ROW()-1,2),"")),"")</f>
        <v/>
      </c>
      <c r="N330" s="15">
        <f t="array" ref="N330">IF(OR(L330="",M330=""),"",IFERROR(INDEX($E$2:$E$391,MATCH(1,($A$2:$A$391=L330)*($D$2:$D$391=M330),0)),""))</f>
        <v/>
      </c>
      <c r="O330" s="69">
        <f>IF(OR(L330="",M330=""),"",SUMIFS($J$2:$J$391,$A$2:$A$391,L330,$D$2:$D$391,M330))</f>
        <v/>
      </c>
      <c r="P330" s="6" t="n"/>
    </row>
    <row r="331">
      <c r="A331" s="44" t="n"/>
      <c r="B331" s="44" t="inlineStr">
        <is>
          <t>Ext. C (In)</t>
        </is>
      </c>
      <c r="C331" s="43" t="n"/>
      <c r="D331" s="43">
        <f>IF(C331="","",IFERROR(_xlfn.XLOOKUP(C331,HELPER!$A$2:$A$76,HELPER!$B$2:$B$76,""),D331))</f>
        <v/>
      </c>
      <c r="E331" s="43">
        <f>IFERROR(_xlfn.XLOOKUP(D331,HELPER!$B:$B,HELPER!$C:$C,""),"")</f>
        <v/>
      </c>
      <c r="F331" s="42">
        <f>IFERROR(_xlfn.XLOOKUP(D331,HELPER!$B:$B,HELPER!$D:$D,""),"")</f>
        <v/>
      </c>
      <c r="G331" s="42" t="n">
        <v>8</v>
      </c>
      <c r="H331" s="556" t="n"/>
      <c r="I331" s="72">
        <f>IF(AND(H331&lt;&gt;"",IFERROR(_xlfn.XLOOKUP(D331,HELPER!$B:$B,HELPER!$E:$E,""),"")=""),"Missing price",IFERROR(_xlfn.XLOOKUP(D331,HELPER!$B:$B,HELPER!$E:$E,"")," "))</f>
        <v/>
      </c>
      <c r="J331" s="72">
        <f>IFERROR(H331*(IF(G331=8,I331*HELPER!$G$2,BOM!I331*HELPER!$G$3))," ")</f>
        <v/>
      </c>
      <c r="K331" s="6" t="n"/>
      <c r="L331" s="14">
        <f t="array" ref="L331">IFERROR(_xlfn.LET(_xlpm.pairs,_xlfn._xlws.FILTER($A$2:$D$391,($A$2:$A$391&lt;&gt;"")*(TRIM($D$2:$D$391)&lt;&gt;"")),_xlpm.uniquePairs,_xlfn.UNIQUE(_xlfn.HSTACK(INDEX(_xlpm.pairs,,1),INDEX(_xlpm.pairs,,4))),_xlpm.sortedPairs,_xlfn._xlws.SORT(_xlpm.uniquePairs,1,1),IF(ROW()-1&lt;=ROWS(_xlpm.sortedPairs),INDEX(_xlpm.sortedPairs,ROW()-1,1),"")),"")</f>
        <v/>
      </c>
      <c r="M331" s="15">
        <f t="array" ref="M331">IFERROR(_xlfn.LET(_xlpm.pairs,_xlfn._xlws.FILTER($A$2:$D$391,($A$2:$A$391&lt;&gt;"")*(TRIM($D$2:$D$391)&lt;&gt;"")),_xlpm.uniquePairs,_xlfn.UNIQUE(_xlfn.HSTACK(INDEX(_xlpm.pairs,,1),INDEX(_xlpm.pairs,,4))),_xlpm.sortedPairs,_xlfn._xlws.SORT(_xlpm.uniquePairs,1,1),IF(ROW()-1&lt;=ROWS(_xlpm.sortedPairs),INDEX(_xlpm.sortedPairs,ROW()-1,2),"")),"")</f>
        <v/>
      </c>
      <c r="N331" s="15">
        <f t="array" ref="N331">IF(OR(L331="",M331=""),"",IFERROR(INDEX($E$2:$E$391,MATCH(1,($A$2:$A$391=L331)*($D$2:$D$391=M331),0)),""))</f>
        <v/>
      </c>
      <c r="O331" s="69">
        <f>IF(OR(L331="",M331=""),"",SUMIFS($J$2:$J$391,$A$2:$A$391,L331,$D$2:$D$391,M331))</f>
        <v/>
      </c>
      <c r="P331" s="6" t="n"/>
    </row>
    <row r="332">
      <c r="A332" s="44" t="n"/>
      <c r="B332" s="44" t="inlineStr">
        <is>
          <t>Ext. A (Out - Chillroll)</t>
        </is>
      </c>
      <c r="C332" s="43" t="n"/>
      <c r="D332" s="43">
        <f>IF(C332="","",IFERROR(_xlfn.XLOOKUP(C332,HELPER!$A$2:$A$76,HELPER!$B$2:$B$76,""),D332))</f>
        <v/>
      </c>
      <c r="E332" s="43">
        <f>IFERROR(_xlfn.XLOOKUP(D332,HELPER!$B:$B,HELPER!$C:$C,""),"")</f>
        <v/>
      </c>
      <c r="F332" s="42">
        <f>IFERROR(_xlfn.XLOOKUP(D332,HELPER!$B:$B,HELPER!$D:$D,""),"")</f>
        <v/>
      </c>
      <c r="G332" s="42" t="n">
        <v>8</v>
      </c>
      <c r="H332" s="556" t="n"/>
      <c r="I332" s="72">
        <f>IF(AND(H332&lt;&gt;"",IFERROR(_xlfn.XLOOKUP(D332,HELPER!$B:$B,HELPER!$E:$E,""),"")=""),"Missing price",IFERROR(_xlfn.XLOOKUP(D332,HELPER!$B:$B,HELPER!$E:$E,"")," "))</f>
        <v/>
      </c>
      <c r="J332" s="72">
        <f>IFERROR(H332*(IF(G332=8,I332*HELPER!$G$2,BOM!I332*HELPER!$G$3))," ")</f>
        <v/>
      </c>
      <c r="K332" s="6" t="n"/>
      <c r="L332" s="14">
        <f t="array" ref="L332">IFERROR(_xlfn.LET(_xlpm.pairs,_xlfn._xlws.FILTER($A$2:$D$391,($A$2:$A$391&lt;&gt;"")*(TRIM($D$2:$D$391)&lt;&gt;"")),_xlpm.uniquePairs,_xlfn.UNIQUE(_xlfn.HSTACK(INDEX(_xlpm.pairs,,1),INDEX(_xlpm.pairs,,4))),_xlpm.sortedPairs,_xlfn._xlws.SORT(_xlpm.uniquePairs,1,1),IF(ROW()-1&lt;=ROWS(_xlpm.sortedPairs),INDEX(_xlpm.sortedPairs,ROW()-1,1),"")),"")</f>
        <v/>
      </c>
      <c r="M332" s="15">
        <f t="array" ref="M332">IFERROR(_xlfn.LET(_xlpm.pairs,_xlfn._xlws.FILTER($A$2:$D$391,($A$2:$A$391&lt;&gt;"")*(TRIM($D$2:$D$391)&lt;&gt;"")),_xlpm.uniquePairs,_xlfn.UNIQUE(_xlfn.HSTACK(INDEX(_xlpm.pairs,,1),INDEX(_xlpm.pairs,,4))),_xlpm.sortedPairs,_xlfn._xlws.SORT(_xlpm.uniquePairs,1,1),IF(ROW()-1&lt;=ROWS(_xlpm.sortedPairs),INDEX(_xlpm.sortedPairs,ROW()-1,2),"")),"")</f>
        <v/>
      </c>
      <c r="N332" s="15">
        <f t="array" ref="N332">IF(OR(L332="",M332=""),"",IFERROR(INDEX($E$2:$E$391,MATCH(1,($A$2:$A$391=L332)*($D$2:$D$391=M332),0)),""))</f>
        <v/>
      </c>
      <c r="O332" s="69">
        <f>IF(OR(L332="",M332=""),"",SUMIFS($J$2:$J$391,$A$2:$A$391,L332,$D$2:$D$391,M332))</f>
        <v/>
      </c>
      <c r="P332" s="6" t="n"/>
    </row>
    <row r="333">
      <c r="A333" s="44" t="n"/>
      <c r="B333" s="44" t="inlineStr">
        <is>
          <t>Ext. A (Out - Chillroll)</t>
        </is>
      </c>
      <c r="C333" s="43" t="n"/>
      <c r="D333" s="43">
        <f>IF(C333="","",IFERROR(_xlfn.XLOOKUP(C333,HELPER!$A$2:$A$76,HELPER!$B$2:$B$76,""),D333))</f>
        <v/>
      </c>
      <c r="E333" s="43">
        <f>IFERROR(_xlfn.XLOOKUP(D333,HELPER!$B:$B,HELPER!$C:$C,""),"")</f>
        <v/>
      </c>
      <c r="F333" s="42">
        <f>IFERROR(_xlfn.XLOOKUP(D333,HELPER!$B:$B,HELPER!$D:$D,""),"")</f>
        <v/>
      </c>
      <c r="G333" s="42" t="n">
        <v>8</v>
      </c>
      <c r="H333" s="556" t="n"/>
      <c r="I333" s="72">
        <f>IF(AND(H333&lt;&gt;"",IFERROR(_xlfn.XLOOKUP(D333,HELPER!$B:$B,HELPER!$E:$E,""),"")=""),"Missing price",IFERROR(_xlfn.XLOOKUP(D333,HELPER!$B:$B,HELPER!$E:$E,"")," "))</f>
        <v/>
      </c>
      <c r="J333" s="72">
        <f>IFERROR(H333*(IF(G333=8,I333*HELPER!$G$2,BOM!I333*HELPER!$G$3))," ")</f>
        <v/>
      </c>
      <c r="K333" s="6" t="n"/>
      <c r="L333" s="14">
        <f t="array" ref="L333">IFERROR(_xlfn.LET(_xlpm.pairs,_xlfn._xlws.FILTER($A$2:$D$391,($A$2:$A$391&lt;&gt;"")*(TRIM($D$2:$D$391)&lt;&gt;"")),_xlpm.uniquePairs,_xlfn.UNIQUE(_xlfn.HSTACK(INDEX(_xlpm.pairs,,1),INDEX(_xlpm.pairs,,4))),_xlpm.sortedPairs,_xlfn._xlws.SORT(_xlpm.uniquePairs,1,1),IF(ROW()-1&lt;=ROWS(_xlpm.sortedPairs),INDEX(_xlpm.sortedPairs,ROW()-1,1),"")),"")</f>
        <v/>
      </c>
      <c r="M333" s="15">
        <f t="array" ref="M333">IFERROR(_xlfn.LET(_xlpm.pairs,_xlfn._xlws.FILTER($A$2:$D$391,($A$2:$A$391&lt;&gt;"")*(TRIM($D$2:$D$391)&lt;&gt;"")),_xlpm.uniquePairs,_xlfn.UNIQUE(_xlfn.HSTACK(INDEX(_xlpm.pairs,,1),INDEX(_xlpm.pairs,,4))),_xlpm.sortedPairs,_xlfn._xlws.SORT(_xlpm.uniquePairs,1,1),IF(ROW()-1&lt;=ROWS(_xlpm.sortedPairs),INDEX(_xlpm.sortedPairs,ROW()-1,2),"")),"")</f>
        <v/>
      </c>
      <c r="N333" s="15">
        <f t="array" ref="N333">IF(OR(L333="",M333=""),"",IFERROR(INDEX($E$2:$E$391,MATCH(1,($A$2:$A$391=L333)*($D$2:$D$391=M333),0)),""))</f>
        <v/>
      </c>
      <c r="O333" s="69">
        <f>IF(OR(L333="",M333=""),"",SUMIFS($J$2:$J$391,$A$2:$A$391,L333,$D$2:$D$391,M333))</f>
        <v/>
      </c>
      <c r="P333" s="6" t="n"/>
    </row>
    <row r="334">
      <c r="A334" s="44" t="n"/>
      <c r="B334" s="44" t="inlineStr">
        <is>
          <t>Ext. A (Out - Chillroll)</t>
        </is>
      </c>
      <c r="C334" s="43" t="n"/>
      <c r="D334" s="43">
        <f>IF(C334="","",IFERROR(_xlfn.XLOOKUP(C334,HELPER!$A$2:$A$76,HELPER!$B$2:$B$76,""),D334))</f>
        <v/>
      </c>
      <c r="E334" s="43">
        <f>IFERROR(_xlfn.XLOOKUP(D334,HELPER!$B:$B,HELPER!$C:$C,""),"")</f>
        <v/>
      </c>
      <c r="F334" s="42">
        <f>IFERROR(_xlfn.XLOOKUP(D334,HELPER!$B:$B,HELPER!$D:$D,""),"")</f>
        <v/>
      </c>
      <c r="G334" s="42" t="n">
        <v>8</v>
      </c>
      <c r="H334" s="556" t="n"/>
      <c r="I334" s="72">
        <f>IF(AND(H334&lt;&gt;"",IFERROR(_xlfn.XLOOKUP(D334,HELPER!$B:$B,HELPER!$E:$E,""),"")=""),"Missing price",IFERROR(_xlfn.XLOOKUP(D334,HELPER!$B:$B,HELPER!$E:$E,"")," "))</f>
        <v/>
      </c>
      <c r="J334" s="72">
        <f>IFERROR(H334*(IF(G334=8,I334*HELPER!$G$2,BOM!I334*HELPER!$G$3))," ")</f>
        <v/>
      </c>
      <c r="K334" s="6" t="n"/>
      <c r="L334" s="14">
        <f t="array" ref="L334">IFERROR(_xlfn.LET(_xlpm.pairs,_xlfn._xlws.FILTER($A$2:$D$391,($A$2:$A$391&lt;&gt;"")*(TRIM($D$2:$D$391)&lt;&gt;"")),_xlpm.uniquePairs,_xlfn.UNIQUE(_xlfn.HSTACK(INDEX(_xlpm.pairs,,1),INDEX(_xlpm.pairs,,4))),_xlpm.sortedPairs,_xlfn._xlws.SORT(_xlpm.uniquePairs,1,1),IF(ROW()-1&lt;=ROWS(_xlpm.sortedPairs),INDEX(_xlpm.sortedPairs,ROW()-1,1),"")),"")</f>
        <v/>
      </c>
      <c r="M334" s="15">
        <f t="array" ref="M334">IFERROR(_xlfn.LET(_xlpm.pairs,_xlfn._xlws.FILTER($A$2:$D$391,($A$2:$A$391&lt;&gt;"")*(TRIM($D$2:$D$391)&lt;&gt;"")),_xlpm.uniquePairs,_xlfn.UNIQUE(_xlfn.HSTACK(INDEX(_xlpm.pairs,,1),INDEX(_xlpm.pairs,,4))),_xlpm.sortedPairs,_xlfn._xlws.SORT(_xlpm.uniquePairs,1,1),IF(ROW()-1&lt;=ROWS(_xlpm.sortedPairs),INDEX(_xlpm.sortedPairs,ROW()-1,2),"")),"")</f>
        <v/>
      </c>
      <c r="N334" s="15">
        <f t="array" ref="N334">IF(OR(L334="",M334=""),"",IFERROR(INDEX($E$2:$E$391,MATCH(1,($A$2:$A$391=L334)*($D$2:$D$391=M334),0)),""))</f>
        <v/>
      </c>
      <c r="O334" s="69">
        <f>IF(OR(L334="",M334=""),"",SUMIFS($J$2:$J$391,$A$2:$A$391,L334,$D$2:$D$391,M334))</f>
        <v/>
      </c>
      <c r="P334" s="6" t="n"/>
    </row>
    <row r="335">
      <c r="A335" s="44" t="n"/>
      <c r="B335" s="44" t="inlineStr">
        <is>
          <t>Ext. A (Out - Chillroll)</t>
        </is>
      </c>
      <c r="C335" s="43" t="n"/>
      <c r="D335" s="43">
        <f>IF(C335="","",IFERROR(_xlfn.XLOOKUP(C335,HELPER!$A$2:$A$76,HELPER!$B$2:$B$76,""),D335))</f>
        <v/>
      </c>
      <c r="E335" s="43">
        <f>IFERROR(_xlfn.XLOOKUP(D335,HELPER!$B:$B,HELPER!$C:$C,""),"")</f>
        <v/>
      </c>
      <c r="F335" s="42">
        <f>IFERROR(_xlfn.XLOOKUP(D335,HELPER!$B:$B,HELPER!$D:$D,""),"")</f>
        <v/>
      </c>
      <c r="G335" s="42" t="n">
        <v>8</v>
      </c>
      <c r="H335" s="556" t="n"/>
      <c r="I335" s="72">
        <f>IF(AND(H335&lt;&gt;"",IFERROR(_xlfn.XLOOKUP(D335,HELPER!$B:$B,HELPER!$E:$E,""),"")=""),"Missing price",IFERROR(_xlfn.XLOOKUP(D335,HELPER!$B:$B,HELPER!$E:$E,"")," "))</f>
        <v/>
      </c>
      <c r="J335" s="72">
        <f>IFERROR(H335*(IF(G335=8,I335*HELPER!$G$2,BOM!I335*HELPER!$G$3))," ")</f>
        <v/>
      </c>
      <c r="K335" s="6" t="n"/>
      <c r="L335" s="14">
        <f t="array" ref="L335">IFERROR(_xlfn.LET(_xlpm.pairs,_xlfn._xlws.FILTER($A$2:$D$391,($A$2:$A$391&lt;&gt;"")*(TRIM($D$2:$D$391)&lt;&gt;"")),_xlpm.uniquePairs,_xlfn.UNIQUE(_xlfn.HSTACK(INDEX(_xlpm.pairs,,1),INDEX(_xlpm.pairs,,4))),_xlpm.sortedPairs,_xlfn._xlws.SORT(_xlpm.uniquePairs,1,1),IF(ROW()-1&lt;=ROWS(_xlpm.sortedPairs),INDEX(_xlpm.sortedPairs,ROW()-1,1),"")),"")</f>
        <v/>
      </c>
      <c r="M335" s="15">
        <f t="array" ref="M335">IFERROR(_xlfn.LET(_xlpm.pairs,_xlfn._xlws.FILTER($A$2:$D$391,($A$2:$A$391&lt;&gt;"")*(TRIM($D$2:$D$391)&lt;&gt;"")),_xlpm.uniquePairs,_xlfn.UNIQUE(_xlfn.HSTACK(INDEX(_xlpm.pairs,,1),INDEX(_xlpm.pairs,,4))),_xlpm.sortedPairs,_xlfn._xlws.SORT(_xlpm.uniquePairs,1,1),IF(ROW()-1&lt;=ROWS(_xlpm.sortedPairs),INDEX(_xlpm.sortedPairs,ROW()-1,2),"")),"")</f>
        <v/>
      </c>
      <c r="N335" s="15">
        <f t="array" ref="N335">IF(OR(L335="",M335=""),"",IFERROR(INDEX($E$2:$E$391,MATCH(1,($A$2:$A$391=L335)*($D$2:$D$391=M335),0)),""))</f>
        <v/>
      </c>
      <c r="O335" s="69">
        <f>IF(OR(L335="",M335=""),"",SUMIFS($J$2:$J$391,$A$2:$A$391,L335,$D$2:$D$391,M335))</f>
        <v/>
      </c>
      <c r="P335" s="6" t="n"/>
    </row>
    <row r="336">
      <c r="A336" s="44" t="n"/>
      <c r="B336" s="44" t="inlineStr">
        <is>
          <t>Ext. A (Out - Chillroll)</t>
        </is>
      </c>
      <c r="C336" s="43" t="n"/>
      <c r="D336" s="43">
        <f>IF(C336="","",IFERROR(_xlfn.XLOOKUP(C336,HELPER!$A$2:$A$76,HELPER!$B$2:$B$76,""),D336))</f>
        <v/>
      </c>
      <c r="E336" s="43">
        <f>IFERROR(_xlfn.XLOOKUP(D336,HELPER!$B:$B,HELPER!$C:$C,""),"")</f>
        <v/>
      </c>
      <c r="F336" s="42">
        <f>IFERROR(_xlfn.XLOOKUP(D336,HELPER!$B:$B,HELPER!$D:$D,""),"")</f>
        <v/>
      </c>
      <c r="G336" s="42" t="n">
        <v>8</v>
      </c>
      <c r="H336" s="556" t="n"/>
      <c r="I336" s="72">
        <f>IF(AND(H336&lt;&gt;"",IFERROR(_xlfn.XLOOKUP(D336,HELPER!$B:$B,HELPER!$E:$E,""),"")=""),"Missing price",IFERROR(_xlfn.XLOOKUP(D336,HELPER!$B:$B,HELPER!$E:$E,"")," "))</f>
        <v/>
      </c>
      <c r="J336" s="72">
        <f>IFERROR(H336*(IF(G336=8,I336*HELPER!$G$2,BOM!I336*HELPER!$G$3))," ")</f>
        <v/>
      </c>
      <c r="K336" s="6" t="n"/>
      <c r="L336" s="14">
        <f t="array" ref="L336">IFERROR(_xlfn.LET(_xlpm.pairs,_xlfn._xlws.FILTER($A$2:$D$391,($A$2:$A$391&lt;&gt;"")*(TRIM($D$2:$D$391)&lt;&gt;"")),_xlpm.uniquePairs,_xlfn.UNIQUE(_xlfn.HSTACK(INDEX(_xlpm.pairs,,1),INDEX(_xlpm.pairs,,4))),_xlpm.sortedPairs,_xlfn._xlws.SORT(_xlpm.uniquePairs,1,1),IF(ROW()-1&lt;=ROWS(_xlpm.sortedPairs),INDEX(_xlpm.sortedPairs,ROW()-1,1),"")),"")</f>
        <v/>
      </c>
      <c r="M336" s="15">
        <f t="array" ref="M336">IFERROR(_xlfn.LET(_xlpm.pairs,_xlfn._xlws.FILTER($A$2:$D$391,($A$2:$A$391&lt;&gt;"")*(TRIM($D$2:$D$391)&lt;&gt;"")),_xlpm.uniquePairs,_xlfn.UNIQUE(_xlfn.HSTACK(INDEX(_xlpm.pairs,,1),INDEX(_xlpm.pairs,,4))),_xlpm.sortedPairs,_xlfn._xlws.SORT(_xlpm.uniquePairs,1,1),IF(ROW()-1&lt;=ROWS(_xlpm.sortedPairs),INDEX(_xlpm.sortedPairs,ROW()-1,2),"")),"")</f>
        <v/>
      </c>
      <c r="N336" s="15">
        <f t="array" ref="N336">IF(OR(L336="",M336=""),"",IFERROR(INDEX($E$2:$E$391,MATCH(1,($A$2:$A$391=L336)*($D$2:$D$391=M336),0)),""))</f>
        <v/>
      </c>
      <c r="O336" s="69">
        <f>IF(OR(L336="",M336=""),"",SUMIFS($J$2:$J$391,$A$2:$A$391,L336,$D$2:$D$391,M336))</f>
        <v/>
      </c>
      <c r="P336" s="6" t="n"/>
    </row>
    <row r="337">
      <c r="A337" s="44" t="n"/>
      <c r="B337" s="44" t="inlineStr">
        <is>
          <t>Ext. A (Out - Chillroll)</t>
        </is>
      </c>
      <c r="C337" s="43" t="n"/>
      <c r="D337" s="43">
        <f>IF(C337="","",IFERROR(_xlfn.XLOOKUP(C337,HELPER!$A$2:$A$76,HELPER!$B$2:$B$76,""),D337))</f>
        <v/>
      </c>
      <c r="E337" s="43">
        <f>IFERROR(_xlfn.XLOOKUP(D337,HELPER!$B:$B,HELPER!$C:$C,""),"")</f>
        <v/>
      </c>
      <c r="F337" s="42">
        <f>IFERROR(_xlfn.XLOOKUP(D337,HELPER!$B:$B,HELPER!$D:$D,""),"")</f>
        <v/>
      </c>
      <c r="G337" s="42" t="n">
        <v>8</v>
      </c>
      <c r="H337" s="556" t="n"/>
      <c r="I337" s="72">
        <f>IF(AND(H337&lt;&gt;"",IFERROR(_xlfn.XLOOKUP(D337,HELPER!$B:$B,HELPER!$E:$E,""),"")=""),"Missing price",IFERROR(_xlfn.XLOOKUP(D337,HELPER!$B:$B,HELPER!$E:$E,"")," "))</f>
        <v/>
      </c>
      <c r="J337" s="72">
        <f>IFERROR(H337*(IF(G337=8,I337*HELPER!$G$2,BOM!I337*HELPER!$G$3))," ")</f>
        <v/>
      </c>
      <c r="K337" s="6" t="n"/>
      <c r="L337" s="14">
        <f t="array" ref="L337">IFERROR(_xlfn.LET(_xlpm.pairs,_xlfn._xlws.FILTER($A$2:$D$391,($A$2:$A$391&lt;&gt;"")*(TRIM($D$2:$D$391)&lt;&gt;"")),_xlpm.uniquePairs,_xlfn.UNIQUE(_xlfn.HSTACK(INDEX(_xlpm.pairs,,1),INDEX(_xlpm.pairs,,4))),_xlpm.sortedPairs,_xlfn._xlws.SORT(_xlpm.uniquePairs,1,1),IF(ROW()-1&lt;=ROWS(_xlpm.sortedPairs),INDEX(_xlpm.sortedPairs,ROW()-1,1),"")),"")</f>
        <v/>
      </c>
      <c r="M337" s="15">
        <f t="array" ref="M337">IFERROR(_xlfn.LET(_xlpm.pairs,_xlfn._xlws.FILTER($A$2:$D$391,($A$2:$A$391&lt;&gt;"")*(TRIM($D$2:$D$391)&lt;&gt;"")),_xlpm.uniquePairs,_xlfn.UNIQUE(_xlfn.HSTACK(INDEX(_xlpm.pairs,,1),INDEX(_xlpm.pairs,,4))),_xlpm.sortedPairs,_xlfn._xlws.SORT(_xlpm.uniquePairs,1,1),IF(ROW()-1&lt;=ROWS(_xlpm.sortedPairs),INDEX(_xlpm.sortedPairs,ROW()-1,2),"")),"")</f>
        <v/>
      </c>
      <c r="N337" s="15">
        <f t="array" ref="N337">IF(OR(L337="",M337=""),"",IFERROR(INDEX($E$2:$E$391,MATCH(1,($A$2:$A$391=L337)*($D$2:$D$391=M337),0)),""))</f>
        <v/>
      </c>
      <c r="O337" s="69">
        <f>IF(OR(L337="",M337=""),"",SUMIFS($J$2:$J$391,$A$2:$A$391,L337,$D$2:$D$391,M337))</f>
        <v/>
      </c>
      <c r="P337" s="6" t="n"/>
    </row>
    <row r="338">
      <c r="A338" s="44" t="n"/>
      <c r="B338" s="44" t="inlineStr">
        <is>
          <t>Ext. A (Out - Chillroll)</t>
        </is>
      </c>
      <c r="C338" s="43" t="n"/>
      <c r="D338" s="43">
        <f>IF(C338="","",IFERROR(_xlfn.XLOOKUP(C338,HELPER!$A$2:$A$76,HELPER!$B$2:$B$76,""),D338))</f>
        <v/>
      </c>
      <c r="E338" s="43">
        <f>IFERROR(_xlfn.XLOOKUP(D338,HELPER!$B:$B,HELPER!$C:$C,""),"")</f>
        <v/>
      </c>
      <c r="F338" s="42">
        <f>IFERROR(_xlfn.XLOOKUP(D338,HELPER!$B:$B,HELPER!$D:$D,""),"")</f>
        <v/>
      </c>
      <c r="G338" s="42" t="n">
        <v>8</v>
      </c>
      <c r="H338" s="556" t="n"/>
      <c r="I338" s="72">
        <f>IF(AND(H338&lt;&gt;"",IFERROR(_xlfn.XLOOKUP(D338,HELPER!$B:$B,HELPER!$E:$E,""),"")=""),"Missing price",IFERROR(_xlfn.XLOOKUP(D338,HELPER!$B:$B,HELPER!$E:$E,"")," "))</f>
        <v/>
      </c>
      <c r="J338" s="72">
        <f>IFERROR(H338*(IF(G338=8,I338*HELPER!$G$2,BOM!I338*HELPER!$G$3))," ")</f>
        <v/>
      </c>
      <c r="K338" s="6" t="n"/>
      <c r="L338" s="14">
        <f t="array" ref="L338">IFERROR(_xlfn.LET(_xlpm.pairs,_xlfn._xlws.FILTER($A$2:$D$391,($A$2:$A$391&lt;&gt;"")*(TRIM($D$2:$D$391)&lt;&gt;"")),_xlpm.uniquePairs,_xlfn.UNIQUE(_xlfn.HSTACK(INDEX(_xlpm.pairs,,1),INDEX(_xlpm.pairs,,4))),_xlpm.sortedPairs,_xlfn._xlws.SORT(_xlpm.uniquePairs,1,1),IF(ROW()-1&lt;=ROWS(_xlpm.sortedPairs),INDEX(_xlpm.sortedPairs,ROW()-1,1),"")),"")</f>
        <v/>
      </c>
      <c r="M338" s="15">
        <f t="array" ref="M338">IFERROR(_xlfn.LET(_xlpm.pairs,_xlfn._xlws.FILTER($A$2:$D$391,($A$2:$A$391&lt;&gt;"")*(TRIM($D$2:$D$391)&lt;&gt;"")),_xlpm.uniquePairs,_xlfn.UNIQUE(_xlfn.HSTACK(INDEX(_xlpm.pairs,,1),INDEX(_xlpm.pairs,,4))),_xlpm.sortedPairs,_xlfn._xlws.SORT(_xlpm.uniquePairs,1,1),IF(ROW()-1&lt;=ROWS(_xlpm.sortedPairs),INDEX(_xlpm.sortedPairs,ROW()-1,2),"")),"")</f>
        <v/>
      </c>
      <c r="N338" s="15">
        <f t="array" ref="N338">IF(OR(L338="",M338=""),"",IFERROR(INDEX($E$2:$E$391,MATCH(1,($A$2:$A$391=L338)*($D$2:$D$391=M338),0)),""))</f>
        <v/>
      </c>
      <c r="O338" s="69">
        <f>IF(OR(L338="",M338=""),"",SUMIFS($J$2:$J$391,$A$2:$A$391,L338,$D$2:$D$391,M338))</f>
        <v/>
      </c>
      <c r="P338" s="6" t="n"/>
    </row>
    <row r="339">
      <c r="A339" s="44" t="n"/>
      <c r="B339" s="44" t="inlineStr">
        <is>
          <t>Ext. A (Out - Chillroll)</t>
        </is>
      </c>
      <c r="C339" s="43" t="n"/>
      <c r="D339" s="43">
        <f>IF(C339="","",IFERROR(_xlfn.XLOOKUP(C339,HELPER!$A$2:$A$76,HELPER!$B$2:$B$76,""),D339))</f>
        <v/>
      </c>
      <c r="E339" s="43">
        <f>IFERROR(_xlfn.XLOOKUP(D339,HELPER!$B:$B,HELPER!$C:$C,""),"")</f>
        <v/>
      </c>
      <c r="F339" s="42">
        <f>IFERROR(_xlfn.XLOOKUP(D339,HELPER!$B:$B,HELPER!$D:$D,""),"")</f>
        <v/>
      </c>
      <c r="G339" s="42" t="n">
        <v>8</v>
      </c>
      <c r="H339" s="556" t="n"/>
      <c r="I339" s="72">
        <f>IF(AND(H339&lt;&gt;"",IFERROR(_xlfn.XLOOKUP(D339,HELPER!$B:$B,HELPER!$E:$E,""),"")=""),"Missing price",IFERROR(_xlfn.XLOOKUP(D339,HELPER!$B:$B,HELPER!$E:$E,"")," "))</f>
        <v/>
      </c>
      <c r="J339" s="72">
        <f>IFERROR(H339*(IF(G339=8,I339*HELPER!$G$2,BOM!I339*HELPER!$G$3))," ")</f>
        <v/>
      </c>
      <c r="K339" s="6" t="n"/>
      <c r="L339" s="14">
        <f t="array" ref="L339">IFERROR(_xlfn.LET(_xlpm.pairs,_xlfn._xlws.FILTER($A$2:$D$391,($A$2:$A$391&lt;&gt;"")*(TRIM($D$2:$D$391)&lt;&gt;"")),_xlpm.uniquePairs,_xlfn.UNIQUE(_xlfn.HSTACK(INDEX(_xlpm.pairs,,1),INDEX(_xlpm.pairs,,4))),_xlpm.sortedPairs,_xlfn._xlws.SORT(_xlpm.uniquePairs,1,1),IF(ROW()-1&lt;=ROWS(_xlpm.sortedPairs),INDEX(_xlpm.sortedPairs,ROW()-1,1),"")),"")</f>
        <v/>
      </c>
      <c r="M339" s="15">
        <f t="array" ref="M339">IFERROR(_xlfn.LET(_xlpm.pairs,_xlfn._xlws.FILTER($A$2:$D$391,($A$2:$A$391&lt;&gt;"")*(TRIM($D$2:$D$391)&lt;&gt;"")),_xlpm.uniquePairs,_xlfn.UNIQUE(_xlfn.HSTACK(INDEX(_xlpm.pairs,,1),INDEX(_xlpm.pairs,,4))),_xlpm.sortedPairs,_xlfn._xlws.SORT(_xlpm.uniquePairs,1,1),IF(ROW()-1&lt;=ROWS(_xlpm.sortedPairs),INDEX(_xlpm.sortedPairs,ROW()-1,2),"")),"")</f>
        <v/>
      </c>
      <c r="N339" s="15">
        <f t="array" ref="N339">IF(OR(L339="",M339=""),"",IFERROR(INDEX($E$2:$E$391,MATCH(1,($A$2:$A$391=L339)*($D$2:$D$391=M339),0)),""))</f>
        <v/>
      </c>
      <c r="O339" s="69">
        <f>IF(OR(L339="",M339=""),"",SUMIFS($J$2:$J$391,$A$2:$A$391,L339,$D$2:$D$391,M339))</f>
        <v/>
      </c>
      <c r="P339" s="6" t="n"/>
    </row>
    <row r="340">
      <c r="A340" s="44" t="n"/>
      <c r="B340" s="44" t="inlineStr">
        <is>
          <t>Ext. A (Out - Chillroll)</t>
        </is>
      </c>
      <c r="C340" s="43" t="n"/>
      <c r="D340" s="43">
        <f>IF(C340="","",IFERROR(_xlfn.XLOOKUP(C340,HELPER!$A$2:$A$76,HELPER!$B$2:$B$76,""),D340))</f>
        <v/>
      </c>
      <c r="E340" s="43">
        <f>IFERROR(_xlfn.XLOOKUP(D340,HELPER!$B:$B,HELPER!$C:$C,""),"")</f>
        <v/>
      </c>
      <c r="F340" s="42">
        <f>IFERROR(_xlfn.XLOOKUP(D340,HELPER!$B:$B,HELPER!$D:$D,""),"")</f>
        <v/>
      </c>
      <c r="G340" s="42" t="n">
        <v>8</v>
      </c>
      <c r="H340" s="556" t="n"/>
      <c r="I340" s="72">
        <f>IF(AND(H340&lt;&gt;"",IFERROR(_xlfn.XLOOKUP(D340,HELPER!$B:$B,HELPER!$E:$E,""),"")=""),"Missing price",IFERROR(_xlfn.XLOOKUP(D340,HELPER!$B:$B,HELPER!$E:$E,"")," "))</f>
        <v/>
      </c>
      <c r="J340" s="72">
        <f>IFERROR(H340*(IF(G340=8,I340*HELPER!$G$2,BOM!I340*HELPER!$G$3))," ")</f>
        <v/>
      </c>
      <c r="K340" s="6" t="n"/>
      <c r="L340" s="14">
        <f t="array" ref="L340">IFERROR(_xlfn.LET(_xlpm.pairs,_xlfn._xlws.FILTER($A$2:$D$391,($A$2:$A$391&lt;&gt;"")*(TRIM($D$2:$D$391)&lt;&gt;"")),_xlpm.uniquePairs,_xlfn.UNIQUE(_xlfn.HSTACK(INDEX(_xlpm.pairs,,1),INDEX(_xlpm.pairs,,4))),_xlpm.sortedPairs,_xlfn._xlws.SORT(_xlpm.uniquePairs,1,1),IF(ROW()-1&lt;=ROWS(_xlpm.sortedPairs),INDEX(_xlpm.sortedPairs,ROW()-1,1),"")),"")</f>
        <v/>
      </c>
      <c r="M340" s="15">
        <f t="array" ref="M340">IFERROR(_xlfn.LET(_xlpm.pairs,_xlfn._xlws.FILTER($A$2:$D$391,($A$2:$A$391&lt;&gt;"")*(TRIM($D$2:$D$391)&lt;&gt;"")),_xlpm.uniquePairs,_xlfn.UNIQUE(_xlfn.HSTACK(INDEX(_xlpm.pairs,,1),INDEX(_xlpm.pairs,,4))),_xlpm.sortedPairs,_xlfn._xlws.SORT(_xlpm.uniquePairs,1,1),IF(ROW()-1&lt;=ROWS(_xlpm.sortedPairs),INDEX(_xlpm.sortedPairs,ROW()-1,2),"")),"")</f>
        <v/>
      </c>
      <c r="N340" s="15">
        <f t="array" ref="N340">IF(OR(L340="",M340=""),"",IFERROR(INDEX($E$2:$E$391,MATCH(1,($A$2:$A$391=L340)*($D$2:$D$391=M340),0)),""))</f>
        <v/>
      </c>
      <c r="O340" s="69">
        <f>IF(OR(L340="",M340=""),"",SUMIFS($J$2:$J$391,$A$2:$A$391,L340,$D$2:$D$391,M340))</f>
        <v/>
      </c>
      <c r="P340" s="6" t="n"/>
    </row>
    <row r="341">
      <c r="A341" s="44" t="n"/>
      <c r="B341" s="44" t="inlineStr">
        <is>
          <t>Ext. A (Out - Chillroll)</t>
        </is>
      </c>
      <c r="C341" s="43" t="n"/>
      <c r="D341" s="43">
        <f>IF(C341="","",IFERROR(_xlfn.XLOOKUP(C341,HELPER!$A$2:$A$76,HELPER!$B$2:$B$76,""),D341))</f>
        <v/>
      </c>
      <c r="E341" s="43">
        <f>IFERROR(_xlfn.XLOOKUP(D341,HELPER!$B:$B,HELPER!$C:$C,""),"")</f>
        <v/>
      </c>
      <c r="F341" s="42">
        <f>IFERROR(_xlfn.XLOOKUP(D341,HELPER!$B:$B,HELPER!$D:$D,""),"")</f>
        <v/>
      </c>
      <c r="G341" s="42" t="n">
        <v>8</v>
      </c>
      <c r="H341" s="556" t="n"/>
      <c r="I341" s="72">
        <f>IF(AND(H341&lt;&gt;"",IFERROR(_xlfn.XLOOKUP(D341,HELPER!$B:$B,HELPER!$E:$E,""),"")=""),"Missing price",IFERROR(_xlfn.XLOOKUP(D341,HELPER!$B:$B,HELPER!$E:$E,"")," "))</f>
        <v/>
      </c>
      <c r="J341" s="72">
        <f>IFERROR(H341*(IF(G341=8,I341*HELPER!$G$2,BOM!I341*HELPER!$G$3))," ")</f>
        <v/>
      </c>
      <c r="K341" s="6" t="n"/>
      <c r="L341" s="14">
        <f t="array" ref="L341">IFERROR(_xlfn.LET(_xlpm.pairs,_xlfn._xlws.FILTER($A$2:$D$391,($A$2:$A$391&lt;&gt;"")*(TRIM($D$2:$D$391)&lt;&gt;"")),_xlpm.uniquePairs,_xlfn.UNIQUE(_xlfn.HSTACK(INDEX(_xlpm.pairs,,1),INDEX(_xlpm.pairs,,4))),_xlpm.sortedPairs,_xlfn._xlws.SORT(_xlpm.uniquePairs,1,1),IF(ROW()-1&lt;=ROWS(_xlpm.sortedPairs),INDEX(_xlpm.sortedPairs,ROW()-1,1),"")),"")</f>
        <v/>
      </c>
      <c r="M341" s="15">
        <f t="array" ref="M341">IFERROR(_xlfn.LET(_xlpm.pairs,_xlfn._xlws.FILTER($A$2:$D$391,($A$2:$A$391&lt;&gt;"")*(TRIM($D$2:$D$391)&lt;&gt;"")),_xlpm.uniquePairs,_xlfn.UNIQUE(_xlfn.HSTACK(INDEX(_xlpm.pairs,,1),INDEX(_xlpm.pairs,,4))),_xlpm.sortedPairs,_xlfn._xlws.SORT(_xlpm.uniquePairs,1,1),IF(ROW()-1&lt;=ROWS(_xlpm.sortedPairs),INDEX(_xlpm.sortedPairs,ROW()-1,2),"")),"")</f>
        <v/>
      </c>
      <c r="N341" s="15">
        <f t="array" ref="N341">IF(OR(L341="",M341=""),"",IFERROR(INDEX($E$2:$E$391,MATCH(1,($A$2:$A$391=L341)*($D$2:$D$391=M341),0)),""))</f>
        <v/>
      </c>
      <c r="O341" s="69">
        <f>IF(OR(L341="",M341=""),"",SUMIFS($J$2:$J$391,$A$2:$A$391,L341,$D$2:$D$391,M341))</f>
        <v/>
      </c>
      <c r="P341" s="6" t="n"/>
    </row>
    <row r="342">
      <c r="A342" s="44" t="n"/>
      <c r="B342" s="44" t="inlineStr">
        <is>
          <t xml:space="preserve">Ext. B </t>
        </is>
      </c>
      <c r="C342" s="43" t="n"/>
      <c r="D342" s="43">
        <f>IF(C342="","",IFERROR(_xlfn.XLOOKUP(C342,HELPER!$A$2:$A$76,HELPER!$B$2:$B$76,""),D342))</f>
        <v/>
      </c>
      <c r="E342" s="43">
        <f>IFERROR(_xlfn.XLOOKUP(D342,HELPER!$B:$B,HELPER!$C:$C,""),"")</f>
        <v/>
      </c>
      <c r="F342" s="42">
        <f>IFERROR(_xlfn.XLOOKUP(D342,HELPER!$B:$B,HELPER!$D:$D,""),"")</f>
        <v/>
      </c>
      <c r="G342" s="42" t="n">
        <v>24</v>
      </c>
      <c r="H342" s="556" t="n"/>
      <c r="I342" s="72">
        <f>IF(AND(H342&lt;&gt;"",IFERROR(_xlfn.XLOOKUP(D342,HELPER!$B:$B,HELPER!$E:$E,""),"")=""),"Missing price",IFERROR(_xlfn.XLOOKUP(D342,HELPER!$B:$B,HELPER!$E:$E,"")," "))</f>
        <v/>
      </c>
      <c r="J342" s="72">
        <f>IFERROR(H342*(IF(G342=8,I342*HELPER!$G$2,BOM!I342*HELPER!$G$3))," ")</f>
        <v/>
      </c>
      <c r="K342" s="6" t="n"/>
      <c r="L342" s="14">
        <f t="array" ref="L342">IFERROR(_xlfn.LET(_xlpm.pairs,_xlfn._xlws.FILTER($A$2:$D$391,($A$2:$A$391&lt;&gt;"")*(TRIM($D$2:$D$391)&lt;&gt;"")),_xlpm.uniquePairs,_xlfn.UNIQUE(_xlfn.HSTACK(INDEX(_xlpm.pairs,,1),INDEX(_xlpm.pairs,,4))),_xlpm.sortedPairs,_xlfn._xlws.SORT(_xlpm.uniquePairs,1,1),IF(ROW()-1&lt;=ROWS(_xlpm.sortedPairs),INDEX(_xlpm.sortedPairs,ROW()-1,1),"")),"")</f>
        <v/>
      </c>
      <c r="M342" s="15">
        <f t="array" ref="M342">IFERROR(_xlfn.LET(_xlpm.pairs,_xlfn._xlws.FILTER($A$2:$D$391,($A$2:$A$391&lt;&gt;"")*(TRIM($D$2:$D$391)&lt;&gt;"")),_xlpm.uniquePairs,_xlfn.UNIQUE(_xlfn.HSTACK(INDEX(_xlpm.pairs,,1),INDEX(_xlpm.pairs,,4))),_xlpm.sortedPairs,_xlfn._xlws.SORT(_xlpm.uniquePairs,1,1),IF(ROW()-1&lt;=ROWS(_xlpm.sortedPairs),INDEX(_xlpm.sortedPairs,ROW()-1,2),"")),"")</f>
        <v/>
      </c>
      <c r="N342" s="15">
        <f t="array" ref="N342">IF(OR(L342="",M342=""),"",IFERROR(INDEX($E$2:$E$391,MATCH(1,($A$2:$A$391=L342)*($D$2:$D$391=M342),0)),""))</f>
        <v/>
      </c>
      <c r="O342" s="69">
        <f>IF(OR(L342="",M342=""),"",SUMIFS($J$2:$J$391,$A$2:$A$391,L342,$D$2:$D$391,M342))</f>
        <v/>
      </c>
      <c r="P342" s="6" t="n"/>
    </row>
    <row r="343">
      <c r="A343" s="44" t="n"/>
      <c r="B343" s="44" t="inlineStr">
        <is>
          <t xml:space="preserve">Ext. B </t>
        </is>
      </c>
      <c r="C343" s="43" t="n"/>
      <c r="D343" s="43">
        <f>IF(C343="","",IFERROR(_xlfn.XLOOKUP(C343,HELPER!$A$2:$A$76,HELPER!$B$2:$B$76,""),D343))</f>
        <v/>
      </c>
      <c r="E343" s="43">
        <f>IFERROR(_xlfn.XLOOKUP(D343,HELPER!$B:$B,HELPER!$C:$C,""),"")</f>
        <v/>
      </c>
      <c r="F343" s="42">
        <f>IFERROR(_xlfn.XLOOKUP(D343,HELPER!$B:$B,HELPER!$D:$D,""),"")</f>
        <v/>
      </c>
      <c r="G343" s="42" t="n">
        <v>24</v>
      </c>
      <c r="H343" s="556" t="n"/>
      <c r="I343" s="72">
        <f>IF(AND(H343&lt;&gt;"",IFERROR(_xlfn.XLOOKUP(D343,HELPER!$B:$B,HELPER!$E:$E,""),"")=""),"Missing price",IFERROR(_xlfn.XLOOKUP(D343,HELPER!$B:$B,HELPER!$E:$E,"")," "))</f>
        <v/>
      </c>
      <c r="J343" s="72">
        <f>IFERROR(H343*(IF(G343=8,I343*HELPER!$G$2,BOM!I343*HELPER!$G$3))," ")</f>
        <v/>
      </c>
      <c r="K343" s="6" t="n"/>
      <c r="L343" s="14">
        <f t="array" ref="L343">IFERROR(_xlfn.LET(_xlpm.pairs,_xlfn._xlws.FILTER($A$2:$D$391,($A$2:$A$391&lt;&gt;"")*(TRIM($D$2:$D$391)&lt;&gt;"")),_xlpm.uniquePairs,_xlfn.UNIQUE(_xlfn.HSTACK(INDEX(_xlpm.pairs,,1),INDEX(_xlpm.pairs,,4))),_xlpm.sortedPairs,_xlfn._xlws.SORT(_xlpm.uniquePairs,1,1),IF(ROW()-1&lt;=ROWS(_xlpm.sortedPairs),INDEX(_xlpm.sortedPairs,ROW()-1,1),"")),"")</f>
        <v/>
      </c>
      <c r="M343" s="15">
        <f t="array" ref="M343">IFERROR(_xlfn.LET(_xlpm.pairs,_xlfn._xlws.FILTER($A$2:$D$391,($A$2:$A$391&lt;&gt;"")*(TRIM($D$2:$D$391)&lt;&gt;"")),_xlpm.uniquePairs,_xlfn.UNIQUE(_xlfn.HSTACK(INDEX(_xlpm.pairs,,1),INDEX(_xlpm.pairs,,4))),_xlpm.sortedPairs,_xlfn._xlws.SORT(_xlpm.uniquePairs,1,1),IF(ROW()-1&lt;=ROWS(_xlpm.sortedPairs),INDEX(_xlpm.sortedPairs,ROW()-1,2),"")),"")</f>
        <v/>
      </c>
      <c r="N343" s="15">
        <f t="array" ref="N343">IF(OR(L343="",M343=""),"",IFERROR(INDEX($E$2:$E$391,MATCH(1,($A$2:$A$391=L343)*($D$2:$D$391=M343),0)),""))</f>
        <v/>
      </c>
      <c r="O343" s="69">
        <f>IF(OR(L343="",M343=""),"",SUMIFS($J$2:$J$391,$A$2:$A$391,L343,$D$2:$D$391,M343))</f>
        <v/>
      </c>
      <c r="P343" s="6" t="n"/>
    </row>
    <row r="344">
      <c r="A344" s="44" t="n"/>
      <c r="B344" s="44" t="inlineStr">
        <is>
          <t xml:space="preserve">Ext. B </t>
        </is>
      </c>
      <c r="C344" s="43" t="n"/>
      <c r="D344" s="43">
        <f>IF(C344="","",IFERROR(_xlfn.XLOOKUP(C344,HELPER!$A$2:$A$76,HELPER!$B$2:$B$76,""),D344))</f>
        <v/>
      </c>
      <c r="E344" s="43">
        <f>IFERROR(_xlfn.XLOOKUP(D344,HELPER!$B:$B,HELPER!$C:$C,""),"")</f>
        <v/>
      </c>
      <c r="F344" s="42">
        <f>IFERROR(_xlfn.XLOOKUP(D344,HELPER!$B:$B,HELPER!$D:$D,""),"")</f>
        <v/>
      </c>
      <c r="G344" s="42" t="n">
        <v>24</v>
      </c>
      <c r="H344" s="556" t="n"/>
      <c r="I344" s="72">
        <f>IF(AND(H344&lt;&gt;"",IFERROR(_xlfn.XLOOKUP(D344,HELPER!$B:$B,HELPER!$E:$E,""),"")=""),"Missing price",IFERROR(_xlfn.XLOOKUP(D344,HELPER!$B:$B,HELPER!$E:$E,"")," "))</f>
        <v/>
      </c>
      <c r="J344" s="72">
        <f>IFERROR(H344*(IF(G344=8,I344*HELPER!$G$2,BOM!I344*HELPER!$G$3))," ")</f>
        <v/>
      </c>
      <c r="K344" s="6" t="n"/>
      <c r="L344" s="14">
        <f t="array" ref="L344">IFERROR(_xlfn.LET(_xlpm.pairs,_xlfn._xlws.FILTER($A$2:$D$391,($A$2:$A$391&lt;&gt;"")*(TRIM($D$2:$D$391)&lt;&gt;"")),_xlpm.uniquePairs,_xlfn.UNIQUE(_xlfn.HSTACK(INDEX(_xlpm.pairs,,1),INDEX(_xlpm.pairs,,4))),_xlpm.sortedPairs,_xlfn._xlws.SORT(_xlpm.uniquePairs,1,1),IF(ROW()-1&lt;=ROWS(_xlpm.sortedPairs),INDEX(_xlpm.sortedPairs,ROW()-1,1),"")),"")</f>
        <v/>
      </c>
      <c r="M344" s="15">
        <f t="array" ref="M344">IFERROR(_xlfn.LET(_xlpm.pairs,_xlfn._xlws.FILTER($A$2:$D$391,($A$2:$A$391&lt;&gt;"")*(TRIM($D$2:$D$391)&lt;&gt;"")),_xlpm.uniquePairs,_xlfn.UNIQUE(_xlfn.HSTACK(INDEX(_xlpm.pairs,,1),INDEX(_xlpm.pairs,,4))),_xlpm.sortedPairs,_xlfn._xlws.SORT(_xlpm.uniquePairs,1,1),IF(ROW()-1&lt;=ROWS(_xlpm.sortedPairs),INDEX(_xlpm.sortedPairs,ROW()-1,2),"")),"")</f>
        <v/>
      </c>
      <c r="N344" s="15">
        <f t="array" ref="N344">IF(OR(L344="",M344=""),"",IFERROR(INDEX($E$2:$E$391,MATCH(1,($A$2:$A$391=L344)*($D$2:$D$391=M344),0)),""))</f>
        <v/>
      </c>
      <c r="O344" s="69">
        <f>IF(OR(L344="",M344=""),"",SUMIFS($J$2:$J$391,$A$2:$A$391,L344,$D$2:$D$391,M344))</f>
        <v/>
      </c>
      <c r="P344" s="6" t="n"/>
    </row>
    <row r="345">
      <c r="A345" s="44" t="n"/>
      <c r="B345" s="44" t="inlineStr">
        <is>
          <t xml:space="preserve">Ext. B </t>
        </is>
      </c>
      <c r="C345" s="43" t="n"/>
      <c r="D345" s="43">
        <f>IF(C345="","",IFERROR(_xlfn.XLOOKUP(C345,HELPER!$A$2:$A$76,HELPER!$B$2:$B$76,""),D345))</f>
        <v/>
      </c>
      <c r="E345" s="43">
        <f>IFERROR(_xlfn.XLOOKUP(D345,HELPER!$B:$B,HELPER!$C:$C,""),"")</f>
        <v/>
      </c>
      <c r="F345" s="42">
        <f>IFERROR(_xlfn.XLOOKUP(D345,HELPER!$B:$B,HELPER!$D:$D,""),"")</f>
        <v/>
      </c>
      <c r="G345" s="42" t="n">
        <v>24</v>
      </c>
      <c r="H345" s="556" t="n"/>
      <c r="I345" s="72">
        <f>IF(AND(H345&lt;&gt;"",IFERROR(_xlfn.XLOOKUP(D345,HELPER!$B:$B,HELPER!$E:$E,""),"")=""),"Missing price",IFERROR(_xlfn.XLOOKUP(D345,HELPER!$B:$B,HELPER!$E:$E,"")," "))</f>
        <v/>
      </c>
      <c r="J345" s="72">
        <f>IFERROR(H345*(IF(G345=8,I345*HELPER!$G$2,BOM!I345*HELPER!$G$3))," ")</f>
        <v/>
      </c>
      <c r="K345" s="6" t="n"/>
      <c r="L345" s="14">
        <f t="array" ref="L345">IFERROR(_xlfn.LET(_xlpm.pairs,_xlfn._xlws.FILTER($A$2:$D$391,($A$2:$A$391&lt;&gt;"")*(TRIM($D$2:$D$391)&lt;&gt;"")),_xlpm.uniquePairs,_xlfn.UNIQUE(_xlfn.HSTACK(INDEX(_xlpm.pairs,,1),INDEX(_xlpm.pairs,,4))),_xlpm.sortedPairs,_xlfn._xlws.SORT(_xlpm.uniquePairs,1,1),IF(ROW()-1&lt;=ROWS(_xlpm.sortedPairs),INDEX(_xlpm.sortedPairs,ROW()-1,1),"")),"")</f>
        <v/>
      </c>
      <c r="M345" s="15">
        <f t="array" ref="M345">IFERROR(_xlfn.LET(_xlpm.pairs,_xlfn._xlws.FILTER($A$2:$D$391,($A$2:$A$391&lt;&gt;"")*(TRIM($D$2:$D$391)&lt;&gt;"")),_xlpm.uniquePairs,_xlfn.UNIQUE(_xlfn.HSTACK(INDEX(_xlpm.pairs,,1),INDEX(_xlpm.pairs,,4))),_xlpm.sortedPairs,_xlfn._xlws.SORT(_xlpm.uniquePairs,1,1),IF(ROW()-1&lt;=ROWS(_xlpm.sortedPairs),INDEX(_xlpm.sortedPairs,ROW()-1,2),"")),"")</f>
        <v/>
      </c>
      <c r="N345" s="15">
        <f t="array" ref="N345">IF(OR(L345="",M345=""),"",IFERROR(INDEX($E$2:$E$391,MATCH(1,($A$2:$A$391=L345)*($D$2:$D$391=M345),0)),""))</f>
        <v/>
      </c>
      <c r="O345" s="69">
        <f>IF(OR(L345="",M345=""),"",SUMIFS($J$2:$J$391,$A$2:$A$391,L345,$D$2:$D$391,M345))</f>
        <v/>
      </c>
      <c r="P345" s="6" t="n"/>
    </row>
    <row r="346">
      <c r="A346" s="44" t="n"/>
      <c r="B346" s="44" t="inlineStr">
        <is>
          <t xml:space="preserve">Ext. B </t>
        </is>
      </c>
      <c r="C346" s="43" t="n"/>
      <c r="D346" s="43">
        <f>IF(C346="","",IFERROR(_xlfn.XLOOKUP(C346,HELPER!$A$2:$A$76,HELPER!$B$2:$B$76,""),D346))</f>
        <v/>
      </c>
      <c r="E346" s="43">
        <f>IFERROR(_xlfn.XLOOKUP(D346,HELPER!$B:$B,HELPER!$C:$C,""),"")</f>
        <v/>
      </c>
      <c r="F346" s="42">
        <f>IFERROR(_xlfn.XLOOKUP(D346,HELPER!$B:$B,HELPER!$D:$D,""),"")</f>
        <v/>
      </c>
      <c r="G346" s="42" t="n">
        <v>24</v>
      </c>
      <c r="H346" s="556" t="n"/>
      <c r="I346" s="72">
        <f>IF(AND(H346&lt;&gt;"",IFERROR(_xlfn.XLOOKUP(D346,HELPER!$B:$B,HELPER!$E:$E,""),"")=""),"Missing price",IFERROR(_xlfn.XLOOKUP(D346,HELPER!$B:$B,HELPER!$E:$E,"")," "))</f>
        <v/>
      </c>
      <c r="J346" s="72">
        <f>IFERROR(H346*(IF(G346=8,I346*HELPER!$G$2,BOM!I346*HELPER!$G$3))," ")</f>
        <v/>
      </c>
      <c r="K346" s="6" t="n"/>
      <c r="L346" s="14">
        <f t="array" ref="L346">IFERROR(_xlfn.LET(_xlpm.pairs,_xlfn._xlws.FILTER($A$2:$D$391,($A$2:$A$391&lt;&gt;"")*(TRIM($D$2:$D$391)&lt;&gt;"")),_xlpm.uniquePairs,_xlfn.UNIQUE(_xlfn.HSTACK(INDEX(_xlpm.pairs,,1),INDEX(_xlpm.pairs,,4))),_xlpm.sortedPairs,_xlfn._xlws.SORT(_xlpm.uniquePairs,1,1),IF(ROW()-1&lt;=ROWS(_xlpm.sortedPairs),INDEX(_xlpm.sortedPairs,ROW()-1,1),"")),"")</f>
        <v/>
      </c>
      <c r="M346" s="15">
        <f t="array" ref="M346">IFERROR(_xlfn.LET(_xlpm.pairs,_xlfn._xlws.FILTER($A$2:$D$391,($A$2:$A$391&lt;&gt;"")*(TRIM($D$2:$D$391)&lt;&gt;"")),_xlpm.uniquePairs,_xlfn.UNIQUE(_xlfn.HSTACK(INDEX(_xlpm.pairs,,1),INDEX(_xlpm.pairs,,4))),_xlpm.sortedPairs,_xlfn._xlws.SORT(_xlpm.uniquePairs,1,1),IF(ROW()-1&lt;=ROWS(_xlpm.sortedPairs),INDEX(_xlpm.sortedPairs,ROW()-1,2),"")),"")</f>
        <v/>
      </c>
      <c r="N346" s="15">
        <f t="array" ref="N346">IF(OR(L346="",M346=""),"",IFERROR(INDEX($E$2:$E$391,MATCH(1,($A$2:$A$391=L346)*($D$2:$D$391=M346),0)),""))</f>
        <v/>
      </c>
      <c r="O346" s="69">
        <f>IF(OR(L346="",M346=""),"",SUMIFS($J$2:$J$391,$A$2:$A$391,L346,$D$2:$D$391,M346))</f>
        <v/>
      </c>
      <c r="P346" s="6" t="n"/>
    </row>
    <row r="347">
      <c r="A347" s="44" t="n"/>
      <c r="B347" s="44" t="inlineStr">
        <is>
          <t xml:space="preserve">Ext. B </t>
        </is>
      </c>
      <c r="C347" s="43" t="n"/>
      <c r="D347" s="43">
        <f>IF(C347="","",IFERROR(_xlfn.XLOOKUP(C347,HELPER!$A$2:$A$76,HELPER!$B$2:$B$76,""),D347))</f>
        <v/>
      </c>
      <c r="E347" s="43">
        <f>IFERROR(_xlfn.XLOOKUP(D347,HELPER!$B:$B,HELPER!$C:$C,""),"")</f>
        <v/>
      </c>
      <c r="F347" s="42">
        <f>IFERROR(_xlfn.XLOOKUP(D347,HELPER!$B:$B,HELPER!$D:$D,""),"")</f>
        <v/>
      </c>
      <c r="G347" s="42" t="n">
        <v>24</v>
      </c>
      <c r="H347" s="556" t="n"/>
      <c r="I347" s="72">
        <f>IF(AND(H347&lt;&gt;"",IFERROR(_xlfn.XLOOKUP(D347,HELPER!$B:$B,HELPER!$E:$E,""),"")=""),"Missing price",IFERROR(_xlfn.XLOOKUP(D347,HELPER!$B:$B,HELPER!$E:$E,"")," "))</f>
        <v/>
      </c>
      <c r="J347" s="72">
        <f>IFERROR(H347*(IF(G347=8,I347*HELPER!$G$2,BOM!I347*HELPER!$G$3))," ")</f>
        <v/>
      </c>
      <c r="K347" s="6" t="n"/>
      <c r="L347" s="14">
        <f t="array" ref="L347">IFERROR(_xlfn.LET(_xlpm.pairs,_xlfn._xlws.FILTER($A$2:$D$391,($A$2:$A$391&lt;&gt;"")*(TRIM($D$2:$D$391)&lt;&gt;"")),_xlpm.uniquePairs,_xlfn.UNIQUE(_xlfn.HSTACK(INDEX(_xlpm.pairs,,1),INDEX(_xlpm.pairs,,4))),_xlpm.sortedPairs,_xlfn._xlws.SORT(_xlpm.uniquePairs,1,1),IF(ROW()-1&lt;=ROWS(_xlpm.sortedPairs),INDEX(_xlpm.sortedPairs,ROW()-1,1),"")),"")</f>
        <v/>
      </c>
      <c r="M347" s="15">
        <f t="array" ref="M347">IFERROR(_xlfn.LET(_xlpm.pairs,_xlfn._xlws.FILTER($A$2:$D$391,($A$2:$A$391&lt;&gt;"")*(TRIM($D$2:$D$391)&lt;&gt;"")),_xlpm.uniquePairs,_xlfn.UNIQUE(_xlfn.HSTACK(INDEX(_xlpm.pairs,,1),INDEX(_xlpm.pairs,,4))),_xlpm.sortedPairs,_xlfn._xlws.SORT(_xlpm.uniquePairs,1,1),IF(ROW()-1&lt;=ROWS(_xlpm.sortedPairs),INDEX(_xlpm.sortedPairs,ROW()-1,2),"")),"")</f>
        <v/>
      </c>
      <c r="N347" s="15">
        <f t="array" ref="N347">IF(OR(L347="",M347=""),"",IFERROR(INDEX($E$2:$E$391,MATCH(1,($A$2:$A$391=L347)*($D$2:$D$391=M347),0)),""))</f>
        <v/>
      </c>
      <c r="O347" s="69">
        <f>IF(OR(L347="",M347=""),"",SUMIFS($J$2:$J$391,$A$2:$A$391,L347,$D$2:$D$391,M347))</f>
        <v/>
      </c>
      <c r="P347" s="6" t="n"/>
    </row>
    <row r="348">
      <c r="A348" s="44" t="n"/>
      <c r="B348" s="44" t="inlineStr">
        <is>
          <t xml:space="preserve">Ext. B </t>
        </is>
      </c>
      <c r="C348" s="43" t="n"/>
      <c r="D348" s="43">
        <f>IF(C348="","",IFERROR(_xlfn.XLOOKUP(C348,HELPER!$A$2:$A$76,HELPER!$B$2:$B$76,""),D348))</f>
        <v/>
      </c>
      <c r="E348" s="43">
        <f>IFERROR(_xlfn.XLOOKUP(D348,HELPER!$B:$B,HELPER!$C:$C,""),"")</f>
        <v/>
      </c>
      <c r="F348" s="42">
        <f>IFERROR(_xlfn.XLOOKUP(D348,HELPER!$B:$B,HELPER!$D:$D,""),"")</f>
        <v/>
      </c>
      <c r="G348" s="42" t="n">
        <v>24</v>
      </c>
      <c r="H348" s="556" t="n"/>
      <c r="I348" s="72">
        <f>IF(AND(H348&lt;&gt;"",IFERROR(_xlfn.XLOOKUP(D348,HELPER!$B:$B,HELPER!$E:$E,""),"")=""),"Missing price",IFERROR(_xlfn.XLOOKUP(D348,HELPER!$B:$B,HELPER!$E:$E,"")," "))</f>
        <v/>
      </c>
      <c r="J348" s="72">
        <f>IFERROR(H348*(IF(G348=8,I348*HELPER!$G$2,BOM!I348*HELPER!$G$3))," ")</f>
        <v/>
      </c>
      <c r="K348" s="6" t="n"/>
      <c r="L348" s="14">
        <f t="array" ref="L348">IFERROR(_xlfn.LET(_xlpm.pairs,_xlfn._xlws.FILTER($A$2:$D$391,($A$2:$A$391&lt;&gt;"")*(TRIM($D$2:$D$391)&lt;&gt;"")),_xlpm.uniquePairs,_xlfn.UNIQUE(_xlfn.HSTACK(INDEX(_xlpm.pairs,,1),INDEX(_xlpm.pairs,,4))),_xlpm.sortedPairs,_xlfn._xlws.SORT(_xlpm.uniquePairs,1,1),IF(ROW()-1&lt;=ROWS(_xlpm.sortedPairs),INDEX(_xlpm.sortedPairs,ROW()-1,1),"")),"")</f>
        <v/>
      </c>
      <c r="M348" s="15">
        <f t="array" ref="M348">IFERROR(_xlfn.LET(_xlpm.pairs,_xlfn._xlws.FILTER($A$2:$D$391,($A$2:$A$391&lt;&gt;"")*(TRIM($D$2:$D$391)&lt;&gt;"")),_xlpm.uniquePairs,_xlfn.UNIQUE(_xlfn.HSTACK(INDEX(_xlpm.pairs,,1),INDEX(_xlpm.pairs,,4))),_xlpm.sortedPairs,_xlfn._xlws.SORT(_xlpm.uniquePairs,1,1),IF(ROW()-1&lt;=ROWS(_xlpm.sortedPairs),INDEX(_xlpm.sortedPairs,ROW()-1,2),"")),"")</f>
        <v/>
      </c>
      <c r="N348" s="15">
        <f t="array" ref="N348">IF(OR(L348="",M348=""),"",IFERROR(INDEX($E$2:$E$391,MATCH(1,($A$2:$A$391=L348)*($D$2:$D$391=M348),0)),""))</f>
        <v/>
      </c>
      <c r="O348" s="69">
        <f>IF(OR(L348="",M348=""),"",SUMIFS($J$2:$J$391,$A$2:$A$391,L348,$D$2:$D$391,M348))</f>
        <v/>
      </c>
      <c r="P348" s="6" t="n"/>
    </row>
    <row r="349">
      <c r="A349" s="44" t="n"/>
      <c r="B349" s="44" t="inlineStr">
        <is>
          <t xml:space="preserve">Ext. B </t>
        </is>
      </c>
      <c r="C349" s="43" t="n"/>
      <c r="D349" s="43">
        <f>IF(C349="","",IFERROR(_xlfn.XLOOKUP(C349,HELPER!$A$2:$A$76,HELPER!$B$2:$B$76,""),D349))</f>
        <v/>
      </c>
      <c r="E349" s="43">
        <f>IFERROR(_xlfn.XLOOKUP(D349,HELPER!$B:$B,HELPER!$C:$C,""),"")</f>
        <v/>
      </c>
      <c r="F349" s="42">
        <f>IFERROR(_xlfn.XLOOKUP(D349,HELPER!$B:$B,HELPER!$D:$D,""),"")</f>
        <v/>
      </c>
      <c r="G349" s="42" t="n">
        <v>24</v>
      </c>
      <c r="H349" s="556" t="n"/>
      <c r="I349" s="72">
        <f>IF(AND(H349&lt;&gt;"",IFERROR(_xlfn.XLOOKUP(D349,HELPER!$B:$B,HELPER!$E:$E,""),"")=""),"Missing price",IFERROR(_xlfn.XLOOKUP(D349,HELPER!$B:$B,HELPER!$E:$E,"")," "))</f>
        <v/>
      </c>
      <c r="J349" s="72">
        <f>IFERROR(H349*(IF(G349=8,I349*HELPER!$G$2,BOM!I349*HELPER!$G$3))," ")</f>
        <v/>
      </c>
      <c r="K349" s="6" t="n"/>
      <c r="L349" s="14">
        <f t="array" ref="L349">IFERROR(_xlfn.LET(_xlpm.pairs,_xlfn._xlws.FILTER($A$2:$D$391,($A$2:$A$391&lt;&gt;"")*(TRIM($D$2:$D$391)&lt;&gt;"")),_xlpm.uniquePairs,_xlfn.UNIQUE(_xlfn.HSTACK(INDEX(_xlpm.pairs,,1),INDEX(_xlpm.pairs,,4))),_xlpm.sortedPairs,_xlfn._xlws.SORT(_xlpm.uniquePairs,1,1),IF(ROW()-1&lt;=ROWS(_xlpm.sortedPairs),INDEX(_xlpm.sortedPairs,ROW()-1,1),"")),"")</f>
        <v/>
      </c>
      <c r="M349" s="15">
        <f t="array" ref="M349">IFERROR(_xlfn.LET(_xlpm.pairs,_xlfn._xlws.FILTER($A$2:$D$391,($A$2:$A$391&lt;&gt;"")*(TRIM($D$2:$D$391)&lt;&gt;"")),_xlpm.uniquePairs,_xlfn.UNIQUE(_xlfn.HSTACK(INDEX(_xlpm.pairs,,1),INDEX(_xlpm.pairs,,4))),_xlpm.sortedPairs,_xlfn._xlws.SORT(_xlpm.uniquePairs,1,1),IF(ROW()-1&lt;=ROWS(_xlpm.sortedPairs),INDEX(_xlpm.sortedPairs,ROW()-1,2),"")),"")</f>
        <v/>
      </c>
      <c r="N349" s="15">
        <f t="array" ref="N349">IF(OR(L349="",M349=""),"",IFERROR(INDEX($E$2:$E$391,MATCH(1,($A$2:$A$391=L349)*($D$2:$D$391=M349),0)),""))</f>
        <v/>
      </c>
      <c r="O349" s="69">
        <f>IF(OR(L349="",M349=""),"",SUMIFS($J$2:$J$391,$A$2:$A$391,L349,$D$2:$D$391,M349))</f>
        <v/>
      </c>
      <c r="P349" s="6" t="n"/>
    </row>
    <row r="350">
      <c r="A350" s="44" t="n"/>
      <c r="B350" s="44" t="inlineStr">
        <is>
          <t xml:space="preserve">Ext. B </t>
        </is>
      </c>
      <c r="C350" s="43" t="n"/>
      <c r="D350" s="43">
        <f>IF(C350="","",IFERROR(_xlfn.XLOOKUP(C350,HELPER!$A$2:$A$76,HELPER!$B$2:$B$76,""),D350))</f>
        <v/>
      </c>
      <c r="E350" s="43">
        <f>IFERROR(_xlfn.XLOOKUP(D350,HELPER!$B:$B,HELPER!$C:$C,""),"")</f>
        <v/>
      </c>
      <c r="F350" s="42">
        <f>IFERROR(_xlfn.XLOOKUP(D350,HELPER!$B:$B,HELPER!$D:$D,""),"")</f>
        <v/>
      </c>
      <c r="G350" s="42" t="n">
        <v>24</v>
      </c>
      <c r="H350" s="556" t="n"/>
      <c r="I350" s="72">
        <f>IF(AND(H350&lt;&gt;"",IFERROR(_xlfn.XLOOKUP(D350,HELPER!$B:$B,HELPER!$E:$E,""),"")=""),"Missing price",IFERROR(_xlfn.XLOOKUP(D350,HELPER!$B:$B,HELPER!$E:$E,"")," "))</f>
        <v/>
      </c>
      <c r="J350" s="72">
        <f>IFERROR(H350*(IF(G350=8,I350*HELPER!$G$2,BOM!I350*HELPER!$G$3))," ")</f>
        <v/>
      </c>
      <c r="K350" s="6" t="n"/>
      <c r="L350" s="14">
        <f t="array" ref="L350">IFERROR(_xlfn.LET(_xlpm.pairs,_xlfn._xlws.FILTER($A$2:$D$391,($A$2:$A$391&lt;&gt;"")*(TRIM($D$2:$D$391)&lt;&gt;"")),_xlpm.uniquePairs,_xlfn.UNIQUE(_xlfn.HSTACK(INDEX(_xlpm.pairs,,1),INDEX(_xlpm.pairs,,4))),_xlpm.sortedPairs,_xlfn._xlws.SORT(_xlpm.uniquePairs,1,1),IF(ROW()-1&lt;=ROWS(_xlpm.sortedPairs),INDEX(_xlpm.sortedPairs,ROW()-1,1),"")),"")</f>
        <v/>
      </c>
      <c r="M350" s="15">
        <f t="array" ref="M350">IFERROR(_xlfn.LET(_xlpm.pairs,_xlfn._xlws.FILTER($A$2:$D$391,($A$2:$A$391&lt;&gt;"")*(TRIM($D$2:$D$391)&lt;&gt;"")),_xlpm.uniquePairs,_xlfn.UNIQUE(_xlfn.HSTACK(INDEX(_xlpm.pairs,,1),INDEX(_xlpm.pairs,,4))),_xlpm.sortedPairs,_xlfn._xlws.SORT(_xlpm.uniquePairs,1,1),IF(ROW()-1&lt;=ROWS(_xlpm.sortedPairs),INDEX(_xlpm.sortedPairs,ROW()-1,2),"")),"")</f>
        <v/>
      </c>
      <c r="N350" s="15">
        <f t="array" ref="N350">IF(OR(L350="",M350=""),"",IFERROR(INDEX($E$2:$E$391,MATCH(1,($A$2:$A$391=L350)*($D$2:$D$391=M350),0)),""))</f>
        <v/>
      </c>
      <c r="O350" s="69">
        <f>IF(OR(L350="",M350=""),"",SUMIFS($J$2:$J$391,$A$2:$A$391,L350,$D$2:$D$391,M350))</f>
        <v/>
      </c>
      <c r="P350" s="6" t="n"/>
    </row>
    <row r="351">
      <c r="A351" s="44" t="n"/>
      <c r="B351" s="44" t="inlineStr">
        <is>
          <t xml:space="preserve">Ext. B </t>
        </is>
      </c>
      <c r="C351" s="43" t="n"/>
      <c r="D351" s="43">
        <f>IF(C351="","",IFERROR(_xlfn.XLOOKUP(C351,HELPER!$A$2:$A$76,HELPER!$B$2:$B$76,""),D351))</f>
        <v/>
      </c>
      <c r="E351" s="43">
        <f>IFERROR(_xlfn.XLOOKUP(D351,HELPER!$B:$B,HELPER!$C:$C,""),"")</f>
        <v/>
      </c>
      <c r="F351" s="42">
        <f>IFERROR(_xlfn.XLOOKUP(D351,HELPER!$B:$B,HELPER!$D:$D,""),"")</f>
        <v/>
      </c>
      <c r="G351" s="42" t="n">
        <v>24</v>
      </c>
      <c r="H351" s="556" t="n"/>
      <c r="I351" s="72">
        <f>IF(AND(H351&lt;&gt;"",IFERROR(_xlfn.XLOOKUP(D351,HELPER!$B:$B,HELPER!$E:$E,""),"")=""),"Missing price",IFERROR(_xlfn.XLOOKUP(D351,HELPER!$B:$B,HELPER!$E:$E,"")," "))</f>
        <v/>
      </c>
      <c r="J351" s="72">
        <f>IFERROR(H351*(IF(G351=8,I351*HELPER!$G$2,BOM!I351*HELPER!$G$3))," ")</f>
        <v/>
      </c>
      <c r="K351" s="6" t="n"/>
      <c r="L351" s="14">
        <f t="array" ref="L351">IFERROR(_xlfn.LET(_xlpm.pairs,_xlfn._xlws.FILTER($A$2:$D$391,($A$2:$A$391&lt;&gt;"")*(TRIM($D$2:$D$391)&lt;&gt;"")),_xlpm.uniquePairs,_xlfn.UNIQUE(_xlfn.HSTACK(INDEX(_xlpm.pairs,,1),INDEX(_xlpm.pairs,,4))),_xlpm.sortedPairs,_xlfn._xlws.SORT(_xlpm.uniquePairs,1,1),IF(ROW()-1&lt;=ROWS(_xlpm.sortedPairs),INDEX(_xlpm.sortedPairs,ROW()-1,1),"")),"")</f>
        <v/>
      </c>
      <c r="M351" s="15">
        <f t="array" ref="M351">IFERROR(_xlfn.LET(_xlpm.pairs,_xlfn._xlws.FILTER($A$2:$D$391,($A$2:$A$391&lt;&gt;"")*(TRIM($D$2:$D$391)&lt;&gt;"")),_xlpm.uniquePairs,_xlfn.UNIQUE(_xlfn.HSTACK(INDEX(_xlpm.pairs,,1),INDEX(_xlpm.pairs,,4))),_xlpm.sortedPairs,_xlfn._xlws.SORT(_xlpm.uniquePairs,1,1),IF(ROW()-1&lt;=ROWS(_xlpm.sortedPairs),INDEX(_xlpm.sortedPairs,ROW()-1,2),"")),"")</f>
        <v/>
      </c>
      <c r="N351" s="15">
        <f t="array" ref="N351">IF(OR(L351="",M351=""),"",IFERROR(INDEX($E$2:$E$391,MATCH(1,($A$2:$A$391=L351)*($D$2:$D$391=M351),0)),""))</f>
        <v/>
      </c>
      <c r="O351" s="69">
        <f>IF(OR(L351="",M351=""),"",SUMIFS($J$2:$J$391,$A$2:$A$391,L351,$D$2:$D$391,M351))</f>
        <v/>
      </c>
      <c r="P351" s="6" t="n"/>
    </row>
    <row r="352">
      <c r="A352" s="44" t="n"/>
      <c r="B352" s="44" t="inlineStr">
        <is>
          <t>Ext. C (In)</t>
        </is>
      </c>
      <c r="C352" s="43" t="n"/>
      <c r="D352" s="43">
        <f>IF(C352="","",IFERROR(_xlfn.XLOOKUP(C352,HELPER!$A$2:$A$76,HELPER!$B$2:$B$76,""),D352))</f>
        <v/>
      </c>
      <c r="E352" s="43">
        <f>IFERROR(_xlfn.XLOOKUP(D352,HELPER!$B:$B,HELPER!$C:$C,""),"")</f>
        <v/>
      </c>
      <c r="F352" s="42">
        <f>IFERROR(_xlfn.XLOOKUP(D352,HELPER!$B:$B,HELPER!$D:$D,""),"")</f>
        <v/>
      </c>
      <c r="G352" s="42" t="n">
        <v>8</v>
      </c>
      <c r="H352" s="556" t="n"/>
      <c r="I352" s="72">
        <f>IF(AND(H352&lt;&gt;"",IFERROR(_xlfn.XLOOKUP(D352,HELPER!$B:$B,HELPER!$E:$E,""),"")=""),"Missing price",IFERROR(_xlfn.XLOOKUP(D352,HELPER!$B:$B,HELPER!$E:$E,"")," "))</f>
        <v/>
      </c>
      <c r="J352" s="72">
        <f>IFERROR(H352*(IF(G352=8,I352*HELPER!$G$2,BOM!I352*HELPER!$G$3))," ")</f>
        <v/>
      </c>
      <c r="K352" s="6" t="n"/>
      <c r="L352" s="14">
        <f t="array" ref="L352">IFERROR(_xlfn.LET(_xlpm.pairs,_xlfn._xlws.FILTER($A$2:$D$391,($A$2:$A$391&lt;&gt;"")*(TRIM($D$2:$D$391)&lt;&gt;"")),_xlpm.uniquePairs,_xlfn.UNIQUE(_xlfn.HSTACK(INDEX(_xlpm.pairs,,1),INDEX(_xlpm.pairs,,4))),_xlpm.sortedPairs,_xlfn._xlws.SORT(_xlpm.uniquePairs,1,1),IF(ROW()-1&lt;=ROWS(_xlpm.sortedPairs),INDEX(_xlpm.sortedPairs,ROW()-1,1),"")),"")</f>
        <v/>
      </c>
      <c r="M352" s="15">
        <f t="array" ref="M352">IFERROR(_xlfn.LET(_xlpm.pairs,_xlfn._xlws.FILTER($A$2:$D$391,($A$2:$A$391&lt;&gt;"")*(TRIM($D$2:$D$391)&lt;&gt;"")),_xlpm.uniquePairs,_xlfn.UNIQUE(_xlfn.HSTACK(INDEX(_xlpm.pairs,,1),INDEX(_xlpm.pairs,,4))),_xlpm.sortedPairs,_xlfn._xlws.SORT(_xlpm.uniquePairs,1,1),IF(ROW()-1&lt;=ROWS(_xlpm.sortedPairs),INDEX(_xlpm.sortedPairs,ROW()-1,2),"")),"")</f>
        <v/>
      </c>
      <c r="N352" s="15">
        <f t="array" ref="N352">IF(OR(L352="",M352=""),"",IFERROR(INDEX($E$2:$E$391,MATCH(1,($A$2:$A$391=L352)*($D$2:$D$391=M352),0)),""))</f>
        <v/>
      </c>
      <c r="O352" s="69">
        <f>IF(OR(L352="",M352=""),"",SUMIFS($J$2:$J$391,$A$2:$A$391,L352,$D$2:$D$391,M352))</f>
        <v/>
      </c>
      <c r="P352" s="6" t="n"/>
    </row>
    <row r="353">
      <c r="A353" s="44" t="n"/>
      <c r="B353" s="44" t="inlineStr">
        <is>
          <t>Ext. C (In)</t>
        </is>
      </c>
      <c r="C353" s="43" t="n"/>
      <c r="D353" s="43">
        <f>IF(C353="","",IFERROR(_xlfn.XLOOKUP(C353,HELPER!$A$2:$A$76,HELPER!$B$2:$B$76,""),D353))</f>
        <v/>
      </c>
      <c r="E353" s="43">
        <f>IFERROR(_xlfn.XLOOKUP(D353,HELPER!$B:$B,HELPER!$C:$C,""),"")</f>
        <v/>
      </c>
      <c r="F353" s="42">
        <f>IFERROR(_xlfn.XLOOKUP(D353,HELPER!$B:$B,HELPER!$D:$D,""),"")</f>
        <v/>
      </c>
      <c r="G353" s="42" t="n">
        <v>8</v>
      </c>
      <c r="H353" s="556" t="n"/>
      <c r="I353" s="72">
        <f>IF(AND(H353&lt;&gt;"",IFERROR(_xlfn.XLOOKUP(D353,HELPER!$B:$B,HELPER!$E:$E,""),"")=""),"Missing price",IFERROR(_xlfn.XLOOKUP(D353,HELPER!$B:$B,HELPER!$E:$E,"")," "))</f>
        <v/>
      </c>
      <c r="J353" s="72">
        <f>IFERROR(H353*(IF(G353=8,I353*HELPER!$G$2,BOM!I353*HELPER!$G$3))," ")</f>
        <v/>
      </c>
      <c r="K353" s="6" t="n"/>
      <c r="L353" s="14">
        <f t="array" ref="L353">IFERROR(_xlfn.LET(_xlpm.pairs,_xlfn._xlws.FILTER($A$2:$D$391,($A$2:$A$391&lt;&gt;"")*(TRIM($D$2:$D$391)&lt;&gt;"")),_xlpm.uniquePairs,_xlfn.UNIQUE(_xlfn.HSTACK(INDEX(_xlpm.pairs,,1),INDEX(_xlpm.pairs,,4))),_xlpm.sortedPairs,_xlfn._xlws.SORT(_xlpm.uniquePairs,1,1),IF(ROW()-1&lt;=ROWS(_xlpm.sortedPairs),INDEX(_xlpm.sortedPairs,ROW()-1,1),"")),"")</f>
        <v/>
      </c>
      <c r="M353" s="15">
        <f t="array" ref="M353">IFERROR(_xlfn.LET(_xlpm.pairs,_xlfn._xlws.FILTER($A$2:$D$391,($A$2:$A$391&lt;&gt;"")*(TRIM($D$2:$D$391)&lt;&gt;"")),_xlpm.uniquePairs,_xlfn.UNIQUE(_xlfn.HSTACK(INDEX(_xlpm.pairs,,1),INDEX(_xlpm.pairs,,4))),_xlpm.sortedPairs,_xlfn._xlws.SORT(_xlpm.uniquePairs,1,1),IF(ROW()-1&lt;=ROWS(_xlpm.sortedPairs),INDEX(_xlpm.sortedPairs,ROW()-1,2),"")),"")</f>
        <v/>
      </c>
      <c r="N353" s="15">
        <f t="array" ref="N353">IF(OR(L353="",M353=""),"",IFERROR(INDEX($E$2:$E$391,MATCH(1,($A$2:$A$391=L353)*($D$2:$D$391=M353),0)),""))</f>
        <v/>
      </c>
      <c r="O353" s="69">
        <f>IF(OR(L353="",M353=""),"",SUMIFS($J$2:$J$391,$A$2:$A$391,L353,$D$2:$D$391,M353))</f>
        <v/>
      </c>
      <c r="P353" s="6" t="n"/>
    </row>
    <row r="354">
      <c r="A354" s="44" t="n"/>
      <c r="B354" s="44" t="inlineStr">
        <is>
          <t>Ext. C (In)</t>
        </is>
      </c>
      <c r="C354" s="43" t="n"/>
      <c r="D354" s="43">
        <f>IF(C354="","",IFERROR(_xlfn.XLOOKUP(C354,HELPER!$A$2:$A$76,HELPER!$B$2:$B$76,""),D354))</f>
        <v/>
      </c>
      <c r="E354" s="43">
        <f>IFERROR(_xlfn.XLOOKUP(D354,HELPER!$B:$B,HELPER!$C:$C,""),"")</f>
        <v/>
      </c>
      <c r="F354" s="42">
        <f>IFERROR(_xlfn.XLOOKUP(D354,HELPER!$B:$B,HELPER!$D:$D,""),"")</f>
        <v/>
      </c>
      <c r="G354" s="42" t="n">
        <v>8</v>
      </c>
      <c r="H354" s="556" t="n"/>
      <c r="I354" s="72">
        <f>IF(AND(H354&lt;&gt;"",IFERROR(_xlfn.XLOOKUP(D354,HELPER!$B:$B,HELPER!$E:$E,""),"")=""),"Missing price",IFERROR(_xlfn.XLOOKUP(D354,HELPER!$B:$B,HELPER!$E:$E,"")," "))</f>
        <v/>
      </c>
      <c r="J354" s="72">
        <f>IFERROR(H354*(IF(G354=8,I354*HELPER!$G$2,BOM!I354*HELPER!$G$3))," ")</f>
        <v/>
      </c>
      <c r="K354" s="6" t="n"/>
      <c r="L354" s="14">
        <f t="array" ref="L354">IFERROR(_xlfn.LET(_xlpm.pairs,_xlfn._xlws.FILTER($A$2:$D$391,($A$2:$A$391&lt;&gt;"")*(TRIM($D$2:$D$391)&lt;&gt;"")),_xlpm.uniquePairs,_xlfn.UNIQUE(_xlfn.HSTACK(INDEX(_xlpm.pairs,,1),INDEX(_xlpm.pairs,,4))),_xlpm.sortedPairs,_xlfn._xlws.SORT(_xlpm.uniquePairs,1,1),IF(ROW()-1&lt;=ROWS(_xlpm.sortedPairs),INDEX(_xlpm.sortedPairs,ROW()-1,1),"")),"")</f>
        <v/>
      </c>
      <c r="M354" s="15">
        <f t="array" ref="M354">IFERROR(_xlfn.LET(_xlpm.pairs,_xlfn._xlws.FILTER($A$2:$D$391,($A$2:$A$391&lt;&gt;"")*(TRIM($D$2:$D$391)&lt;&gt;"")),_xlpm.uniquePairs,_xlfn.UNIQUE(_xlfn.HSTACK(INDEX(_xlpm.pairs,,1),INDEX(_xlpm.pairs,,4))),_xlpm.sortedPairs,_xlfn._xlws.SORT(_xlpm.uniquePairs,1,1),IF(ROW()-1&lt;=ROWS(_xlpm.sortedPairs),INDEX(_xlpm.sortedPairs,ROW()-1,2),"")),"")</f>
        <v/>
      </c>
      <c r="N354" s="15">
        <f t="array" ref="N354">IF(OR(L354="",M354=""),"",IFERROR(INDEX($E$2:$E$391,MATCH(1,($A$2:$A$391=L354)*($D$2:$D$391=M354),0)),""))</f>
        <v/>
      </c>
      <c r="O354" s="69">
        <f>IF(OR(L354="",M354=""),"",SUMIFS($J$2:$J$391,$A$2:$A$391,L354,$D$2:$D$391,M354))</f>
        <v/>
      </c>
      <c r="P354" s="6" t="n"/>
    </row>
    <row r="355">
      <c r="A355" s="44" t="n"/>
      <c r="B355" s="44" t="inlineStr">
        <is>
          <t>Ext. C (In)</t>
        </is>
      </c>
      <c r="C355" s="43" t="n"/>
      <c r="D355" s="43">
        <f>IF(C355="","",IFERROR(_xlfn.XLOOKUP(C355,HELPER!$A$2:$A$76,HELPER!$B$2:$B$76,""),D355))</f>
        <v/>
      </c>
      <c r="E355" s="43">
        <f>IFERROR(_xlfn.XLOOKUP(D355,HELPER!$B:$B,HELPER!$C:$C,""),"")</f>
        <v/>
      </c>
      <c r="F355" s="42">
        <f>IFERROR(_xlfn.XLOOKUP(D355,HELPER!$B:$B,HELPER!$D:$D,""),"")</f>
        <v/>
      </c>
      <c r="G355" s="42" t="n">
        <v>8</v>
      </c>
      <c r="H355" s="556" t="n"/>
      <c r="I355" s="72">
        <f>IF(AND(H355&lt;&gt;"",IFERROR(_xlfn.XLOOKUP(D355,HELPER!$B:$B,HELPER!$E:$E,""),"")=""),"Missing price",IFERROR(_xlfn.XLOOKUP(D355,HELPER!$B:$B,HELPER!$E:$E,"")," "))</f>
        <v/>
      </c>
      <c r="J355" s="72">
        <f>IFERROR(H355*(IF(G355=8,I355*HELPER!$G$2,BOM!I355*HELPER!$G$3))," ")</f>
        <v/>
      </c>
      <c r="K355" s="6" t="n"/>
      <c r="L355" s="14">
        <f t="array" ref="L355">IFERROR(_xlfn.LET(_xlpm.pairs,_xlfn._xlws.FILTER($A$2:$D$391,($A$2:$A$391&lt;&gt;"")*(TRIM($D$2:$D$391)&lt;&gt;"")),_xlpm.uniquePairs,_xlfn.UNIQUE(_xlfn.HSTACK(INDEX(_xlpm.pairs,,1),INDEX(_xlpm.pairs,,4))),_xlpm.sortedPairs,_xlfn._xlws.SORT(_xlpm.uniquePairs,1,1),IF(ROW()-1&lt;=ROWS(_xlpm.sortedPairs),INDEX(_xlpm.sortedPairs,ROW()-1,1),"")),"")</f>
        <v/>
      </c>
      <c r="M355" s="15">
        <f t="array" ref="M355">IFERROR(_xlfn.LET(_xlpm.pairs,_xlfn._xlws.FILTER($A$2:$D$391,($A$2:$A$391&lt;&gt;"")*(TRIM($D$2:$D$391)&lt;&gt;"")),_xlpm.uniquePairs,_xlfn.UNIQUE(_xlfn.HSTACK(INDEX(_xlpm.pairs,,1),INDEX(_xlpm.pairs,,4))),_xlpm.sortedPairs,_xlfn._xlws.SORT(_xlpm.uniquePairs,1,1),IF(ROW()-1&lt;=ROWS(_xlpm.sortedPairs),INDEX(_xlpm.sortedPairs,ROW()-1,2),"")),"")</f>
        <v/>
      </c>
      <c r="N355" s="15">
        <f t="array" ref="N355">IF(OR(L355="",M355=""),"",IFERROR(INDEX($E$2:$E$391,MATCH(1,($A$2:$A$391=L355)*($D$2:$D$391=M355),0)),""))</f>
        <v/>
      </c>
      <c r="O355" s="69">
        <f>IF(OR(L355="",M355=""),"",SUMIFS($J$2:$J$391,$A$2:$A$391,L355,$D$2:$D$391,M355))</f>
        <v/>
      </c>
      <c r="P355" s="6" t="n"/>
    </row>
    <row r="356">
      <c r="A356" s="44" t="n"/>
      <c r="B356" s="44" t="inlineStr">
        <is>
          <t>Ext. C (In)</t>
        </is>
      </c>
      <c r="C356" s="43" t="n"/>
      <c r="D356" s="43">
        <f>IF(C356="","",IFERROR(_xlfn.XLOOKUP(C356,HELPER!$A$2:$A$76,HELPER!$B$2:$B$76,""),D356))</f>
        <v/>
      </c>
      <c r="E356" s="43">
        <f>IFERROR(_xlfn.XLOOKUP(D356,HELPER!$B:$B,HELPER!$C:$C,""),"")</f>
        <v/>
      </c>
      <c r="F356" s="42">
        <f>IFERROR(_xlfn.XLOOKUP(D356,HELPER!$B:$B,HELPER!$D:$D,""),"")</f>
        <v/>
      </c>
      <c r="G356" s="42" t="n">
        <v>8</v>
      </c>
      <c r="H356" s="556" t="n"/>
      <c r="I356" s="72">
        <f>IF(AND(H356&lt;&gt;"",IFERROR(_xlfn.XLOOKUP(D356,HELPER!$B:$B,HELPER!$E:$E,""),"")=""),"Missing price",IFERROR(_xlfn.XLOOKUP(D356,HELPER!$B:$B,HELPER!$E:$E,"")," "))</f>
        <v/>
      </c>
      <c r="J356" s="72">
        <f>IFERROR(H356*(IF(G356=8,I356*HELPER!$G$2,BOM!I356*HELPER!$G$3))," ")</f>
        <v/>
      </c>
      <c r="K356" s="6" t="n"/>
      <c r="L356" s="14">
        <f t="array" ref="L356">IFERROR(_xlfn.LET(_xlpm.pairs,_xlfn._xlws.FILTER($A$2:$D$391,($A$2:$A$391&lt;&gt;"")*(TRIM($D$2:$D$391)&lt;&gt;"")),_xlpm.uniquePairs,_xlfn.UNIQUE(_xlfn.HSTACK(INDEX(_xlpm.pairs,,1),INDEX(_xlpm.pairs,,4))),_xlpm.sortedPairs,_xlfn._xlws.SORT(_xlpm.uniquePairs,1,1),IF(ROW()-1&lt;=ROWS(_xlpm.sortedPairs),INDEX(_xlpm.sortedPairs,ROW()-1,1),"")),"")</f>
        <v/>
      </c>
      <c r="M356" s="15">
        <f t="array" ref="M356">IFERROR(_xlfn.LET(_xlpm.pairs,_xlfn._xlws.FILTER($A$2:$D$391,($A$2:$A$391&lt;&gt;"")*(TRIM($D$2:$D$391)&lt;&gt;"")),_xlpm.uniquePairs,_xlfn.UNIQUE(_xlfn.HSTACK(INDEX(_xlpm.pairs,,1),INDEX(_xlpm.pairs,,4))),_xlpm.sortedPairs,_xlfn._xlws.SORT(_xlpm.uniquePairs,1,1),IF(ROW()-1&lt;=ROWS(_xlpm.sortedPairs),INDEX(_xlpm.sortedPairs,ROW()-1,2),"")),"")</f>
        <v/>
      </c>
      <c r="N356" s="15">
        <f t="array" ref="N356">IF(OR(L356="",M356=""),"",IFERROR(INDEX($E$2:$E$391,MATCH(1,($A$2:$A$391=L356)*($D$2:$D$391=M356),0)),""))</f>
        <v/>
      </c>
      <c r="O356" s="69">
        <f>IF(OR(L356="",M356=""),"",SUMIFS($J$2:$J$391,$A$2:$A$391,L356,$D$2:$D$391,M356))</f>
        <v/>
      </c>
      <c r="P356" s="6" t="n"/>
    </row>
    <row r="357">
      <c r="A357" s="44" t="n"/>
      <c r="B357" s="44" t="inlineStr">
        <is>
          <t>Ext. C (In)</t>
        </is>
      </c>
      <c r="C357" s="43" t="n"/>
      <c r="D357" s="43">
        <f>IF(C357="","",IFERROR(_xlfn.XLOOKUP(C357,HELPER!$A$2:$A$76,HELPER!$B$2:$B$76,""),D357))</f>
        <v/>
      </c>
      <c r="E357" s="43">
        <f>IFERROR(_xlfn.XLOOKUP(D357,HELPER!$B:$B,HELPER!$C:$C,""),"")</f>
        <v/>
      </c>
      <c r="F357" s="42">
        <f>IFERROR(_xlfn.XLOOKUP(D357,HELPER!$B:$B,HELPER!$D:$D,""),"")</f>
        <v/>
      </c>
      <c r="G357" s="42" t="n">
        <v>8</v>
      </c>
      <c r="H357" s="556" t="n"/>
      <c r="I357" s="72">
        <f>IF(AND(H357&lt;&gt;"",IFERROR(_xlfn.XLOOKUP(D357,HELPER!$B:$B,HELPER!$E:$E,""),"")=""),"Missing price",IFERROR(_xlfn.XLOOKUP(D357,HELPER!$B:$B,HELPER!$E:$E,"")," "))</f>
        <v/>
      </c>
      <c r="J357" s="72">
        <f>IFERROR(H357*(IF(G357=8,I357*HELPER!$G$2,BOM!I357*HELPER!$G$3))," ")</f>
        <v/>
      </c>
      <c r="K357" s="6" t="n"/>
      <c r="L357" s="14">
        <f t="array" ref="L357">IFERROR(_xlfn.LET(_xlpm.pairs,_xlfn._xlws.FILTER($A$2:$D$391,($A$2:$A$391&lt;&gt;"")*(TRIM($D$2:$D$391)&lt;&gt;"")),_xlpm.uniquePairs,_xlfn.UNIQUE(_xlfn.HSTACK(INDEX(_xlpm.pairs,,1),INDEX(_xlpm.pairs,,4))),_xlpm.sortedPairs,_xlfn._xlws.SORT(_xlpm.uniquePairs,1,1),IF(ROW()-1&lt;=ROWS(_xlpm.sortedPairs),INDEX(_xlpm.sortedPairs,ROW()-1,1),"")),"")</f>
        <v/>
      </c>
      <c r="M357" s="15">
        <f t="array" ref="M357">IFERROR(_xlfn.LET(_xlpm.pairs,_xlfn._xlws.FILTER($A$2:$D$391,($A$2:$A$391&lt;&gt;"")*(TRIM($D$2:$D$391)&lt;&gt;"")),_xlpm.uniquePairs,_xlfn.UNIQUE(_xlfn.HSTACK(INDEX(_xlpm.pairs,,1),INDEX(_xlpm.pairs,,4))),_xlpm.sortedPairs,_xlfn._xlws.SORT(_xlpm.uniquePairs,1,1),IF(ROW()-1&lt;=ROWS(_xlpm.sortedPairs),INDEX(_xlpm.sortedPairs,ROW()-1,2),"")),"")</f>
        <v/>
      </c>
      <c r="N357" s="15">
        <f t="array" ref="N357">IF(OR(L357="",M357=""),"",IFERROR(INDEX($E$2:$E$391,MATCH(1,($A$2:$A$391=L357)*($D$2:$D$391=M357),0)),""))</f>
        <v/>
      </c>
      <c r="O357" s="69">
        <f>IF(OR(L357="",M357=""),"",SUMIFS($J$2:$J$391,$A$2:$A$391,L357,$D$2:$D$391,M357))</f>
        <v/>
      </c>
      <c r="P357" s="6" t="n"/>
    </row>
    <row r="358">
      <c r="A358" s="44" t="n"/>
      <c r="B358" s="44" t="inlineStr">
        <is>
          <t>Ext. C (In)</t>
        </is>
      </c>
      <c r="C358" s="43" t="n"/>
      <c r="D358" s="43">
        <f>IF(C358="","",IFERROR(_xlfn.XLOOKUP(C358,HELPER!$A$2:$A$76,HELPER!$B$2:$B$76,""),D358))</f>
        <v/>
      </c>
      <c r="E358" s="43">
        <f>IFERROR(_xlfn.XLOOKUP(D358,HELPER!$B:$B,HELPER!$C:$C,""),"")</f>
        <v/>
      </c>
      <c r="F358" s="42">
        <f>IFERROR(_xlfn.XLOOKUP(D358,HELPER!$B:$B,HELPER!$D:$D,""),"")</f>
        <v/>
      </c>
      <c r="G358" s="42" t="n">
        <v>8</v>
      </c>
      <c r="H358" s="556" t="n"/>
      <c r="I358" s="72">
        <f>IF(AND(H358&lt;&gt;"",IFERROR(_xlfn.XLOOKUP(D358,HELPER!$B:$B,HELPER!$E:$E,""),"")=""),"Missing price",IFERROR(_xlfn.XLOOKUP(D358,HELPER!$B:$B,HELPER!$E:$E,"")," "))</f>
        <v/>
      </c>
      <c r="J358" s="72">
        <f>IFERROR(H358*(IF(G358=8,I358*HELPER!$G$2,BOM!I358*HELPER!$G$3))," ")</f>
        <v/>
      </c>
      <c r="K358" s="6" t="n"/>
      <c r="L358" s="14">
        <f t="array" ref="L358">IFERROR(_xlfn.LET(_xlpm.pairs,_xlfn._xlws.FILTER($A$2:$D$391,($A$2:$A$391&lt;&gt;"")*(TRIM($D$2:$D$391)&lt;&gt;"")),_xlpm.uniquePairs,_xlfn.UNIQUE(_xlfn.HSTACK(INDEX(_xlpm.pairs,,1),INDEX(_xlpm.pairs,,4))),_xlpm.sortedPairs,_xlfn._xlws.SORT(_xlpm.uniquePairs,1,1),IF(ROW()-1&lt;=ROWS(_xlpm.sortedPairs),INDEX(_xlpm.sortedPairs,ROW()-1,1),"")),"")</f>
        <v/>
      </c>
      <c r="M358" s="15">
        <f t="array" ref="M358">IFERROR(_xlfn.LET(_xlpm.pairs,_xlfn._xlws.FILTER($A$2:$D$391,($A$2:$A$391&lt;&gt;"")*(TRIM($D$2:$D$391)&lt;&gt;"")),_xlpm.uniquePairs,_xlfn.UNIQUE(_xlfn.HSTACK(INDEX(_xlpm.pairs,,1),INDEX(_xlpm.pairs,,4))),_xlpm.sortedPairs,_xlfn._xlws.SORT(_xlpm.uniquePairs,1,1),IF(ROW()-1&lt;=ROWS(_xlpm.sortedPairs),INDEX(_xlpm.sortedPairs,ROW()-1,2),"")),"")</f>
        <v/>
      </c>
      <c r="N358" s="15">
        <f t="array" ref="N358">IF(OR(L358="",M358=""),"",IFERROR(INDEX($E$2:$E$391,MATCH(1,($A$2:$A$391=L358)*($D$2:$D$391=M358),0)),""))</f>
        <v/>
      </c>
      <c r="O358" s="69">
        <f>IF(OR(L358="",M358=""),"",SUMIFS($J$2:$J$391,$A$2:$A$391,L358,$D$2:$D$391,M358))</f>
        <v/>
      </c>
      <c r="P358" s="6" t="n"/>
    </row>
    <row r="359">
      <c r="A359" s="44" t="n"/>
      <c r="B359" s="44" t="inlineStr">
        <is>
          <t>Ext. C (In)</t>
        </is>
      </c>
      <c r="C359" s="43" t="n"/>
      <c r="D359" s="43">
        <f>IF(C359="","",IFERROR(_xlfn.XLOOKUP(C359,HELPER!$A$2:$A$76,HELPER!$B$2:$B$76,""),D359))</f>
        <v/>
      </c>
      <c r="E359" s="43">
        <f>IFERROR(_xlfn.XLOOKUP(D359,HELPER!$B:$B,HELPER!$C:$C,""),"")</f>
        <v/>
      </c>
      <c r="F359" s="42">
        <f>IFERROR(_xlfn.XLOOKUP(D359,HELPER!$B:$B,HELPER!$D:$D,""),"")</f>
        <v/>
      </c>
      <c r="G359" s="42" t="n">
        <v>8</v>
      </c>
      <c r="H359" s="556" t="n"/>
      <c r="I359" s="72">
        <f>IF(AND(H359&lt;&gt;"",IFERROR(_xlfn.XLOOKUP(D359,HELPER!$B:$B,HELPER!$E:$E,""),"")=""),"Missing price",IFERROR(_xlfn.XLOOKUP(D359,HELPER!$B:$B,HELPER!$E:$E,"")," "))</f>
        <v/>
      </c>
      <c r="J359" s="72">
        <f>IFERROR(H359*(IF(G359=8,I359*HELPER!$G$2,BOM!I359*HELPER!$G$3))," ")</f>
        <v/>
      </c>
      <c r="K359" s="6" t="n"/>
      <c r="L359" s="14">
        <f t="array" ref="L359">IFERROR(_xlfn.LET(_xlpm.pairs,_xlfn._xlws.FILTER($A$2:$D$391,($A$2:$A$391&lt;&gt;"")*(TRIM($D$2:$D$391)&lt;&gt;"")),_xlpm.uniquePairs,_xlfn.UNIQUE(_xlfn.HSTACK(INDEX(_xlpm.pairs,,1),INDEX(_xlpm.pairs,,4))),_xlpm.sortedPairs,_xlfn._xlws.SORT(_xlpm.uniquePairs,1,1),IF(ROW()-1&lt;=ROWS(_xlpm.sortedPairs),INDEX(_xlpm.sortedPairs,ROW()-1,1),"")),"")</f>
        <v/>
      </c>
      <c r="M359" s="15">
        <f t="array" ref="M359">IFERROR(_xlfn.LET(_xlpm.pairs,_xlfn._xlws.FILTER($A$2:$D$391,($A$2:$A$391&lt;&gt;"")*(TRIM($D$2:$D$391)&lt;&gt;"")),_xlpm.uniquePairs,_xlfn.UNIQUE(_xlfn.HSTACK(INDEX(_xlpm.pairs,,1),INDEX(_xlpm.pairs,,4))),_xlpm.sortedPairs,_xlfn._xlws.SORT(_xlpm.uniquePairs,1,1),IF(ROW()-1&lt;=ROWS(_xlpm.sortedPairs),INDEX(_xlpm.sortedPairs,ROW()-1,2),"")),"")</f>
        <v/>
      </c>
      <c r="N359" s="15">
        <f t="array" ref="N359">IF(OR(L359="",M359=""),"",IFERROR(INDEX($E$2:$E$391,MATCH(1,($A$2:$A$391=L359)*($D$2:$D$391=M359),0)),""))</f>
        <v/>
      </c>
      <c r="O359" s="69">
        <f>IF(OR(L359="",M359=""),"",SUMIFS($J$2:$J$391,$A$2:$A$391,L359,$D$2:$D$391,M359))</f>
        <v/>
      </c>
      <c r="P359" s="6" t="n"/>
    </row>
    <row r="360">
      <c r="A360" s="44" t="n"/>
      <c r="B360" s="44" t="inlineStr">
        <is>
          <t>Ext. C (In)</t>
        </is>
      </c>
      <c r="C360" s="43" t="n"/>
      <c r="D360" s="43">
        <f>IF(C360="","",IFERROR(_xlfn.XLOOKUP(C360,HELPER!$A$2:$A$76,HELPER!$B$2:$B$76,""),D360))</f>
        <v/>
      </c>
      <c r="E360" s="43">
        <f>IFERROR(_xlfn.XLOOKUP(D360,HELPER!$B:$B,HELPER!$C:$C,""),"")</f>
        <v/>
      </c>
      <c r="F360" s="42">
        <f>IFERROR(_xlfn.XLOOKUP(D360,HELPER!$B:$B,HELPER!$D:$D,""),"")</f>
        <v/>
      </c>
      <c r="G360" s="42" t="n">
        <v>8</v>
      </c>
      <c r="H360" s="556" t="n"/>
      <c r="I360" s="72">
        <f>IF(AND(H360&lt;&gt;"",IFERROR(_xlfn.XLOOKUP(D360,HELPER!$B:$B,HELPER!$E:$E,""),"")=""),"Missing price",IFERROR(_xlfn.XLOOKUP(D360,HELPER!$B:$B,HELPER!$E:$E,"")," "))</f>
        <v/>
      </c>
      <c r="J360" s="72">
        <f>IFERROR(H360*(IF(G360=8,I360*HELPER!$G$2,BOM!I360*HELPER!$G$3))," ")</f>
        <v/>
      </c>
      <c r="K360" s="6" t="n"/>
      <c r="L360" s="14">
        <f t="array" ref="L360">IFERROR(_xlfn.LET(_xlpm.pairs,_xlfn._xlws.FILTER($A$2:$D$391,($A$2:$A$391&lt;&gt;"")*(TRIM($D$2:$D$391)&lt;&gt;"")),_xlpm.uniquePairs,_xlfn.UNIQUE(_xlfn.HSTACK(INDEX(_xlpm.pairs,,1),INDEX(_xlpm.pairs,,4))),_xlpm.sortedPairs,_xlfn._xlws.SORT(_xlpm.uniquePairs,1,1),IF(ROW()-1&lt;=ROWS(_xlpm.sortedPairs),INDEX(_xlpm.sortedPairs,ROW()-1,1),"")),"")</f>
        <v/>
      </c>
      <c r="M360" s="15">
        <f t="array" ref="M360">IFERROR(_xlfn.LET(_xlpm.pairs,_xlfn._xlws.FILTER($A$2:$D$391,($A$2:$A$391&lt;&gt;"")*(TRIM($D$2:$D$391)&lt;&gt;"")),_xlpm.uniquePairs,_xlfn.UNIQUE(_xlfn.HSTACK(INDEX(_xlpm.pairs,,1),INDEX(_xlpm.pairs,,4))),_xlpm.sortedPairs,_xlfn._xlws.SORT(_xlpm.uniquePairs,1,1),IF(ROW()-1&lt;=ROWS(_xlpm.sortedPairs),INDEX(_xlpm.sortedPairs,ROW()-1,2),"")),"")</f>
        <v/>
      </c>
      <c r="N360" s="15">
        <f t="array" ref="N360">IF(OR(L360="",M360=""),"",IFERROR(INDEX($E$2:$E$391,MATCH(1,($A$2:$A$391=L360)*($D$2:$D$391=M360),0)),""))</f>
        <v/>
      </c>
      <c r="O360" s="69">
        <f>IF(OR(L360="",M360=""),"",SUMIFS($J$2:$J$391,$A$2:$A$391,L360,$D$2:$D$391,M360))</f>
        <v/>
      </c>
      <c r="P360" s="6" t="n"/>
    </row>
    <row r="361">
      <c r="A361" s="44" t="n"/>
      <c r="B361" s="44" t="inlineStr">
        <is>
          <t>Ext. C (In)</t>
        </is>
      </c>
      <c r="C361" s="43" t="n"/>
      <c r="D361" s="43">
        <f>IF(C361="","",IFERROR(_xlfn.XLOOKUP(C361,HELPER!$A$2:$A$76,HELPER!$B$2:$B$76,""),D361))</f>
        <v/>
      </c>
      <c r="E361" s="43">
        <f>IFERROR(_xlfn.XLOOKUP(D361,HELPER!$B:$B,HELPER!$C:$C,""),"")</f>
        <v/>
      </c>
      <c r="F361" s="42">
        <f>IFERROR(_xlfn.XLOOKUP(D361,HELPER!$B:$B,HELPER!$D:$D,""),"")</f>
        <v/>
      </c>
      <c r="G361" s="42" t="n">
        <v>8</v>
      </c>
      <c r="H361" s="556" t="n"/>
      <c r="I361" s="72">
        <f>IF(AND(H361&lt;&gt;"",IFERROR(_xlfn.XLOOKUP(D361,HELPER!$B:$B,HELPER!$E:$E,""),"")=""),"Missing price",IFERROR(_xlfn.XLOOKUP(D361,HELPER!$B:$B,HELPER!$E:$E,"")," "))</f>
        <v/>
      </c>
      <c r="J361" s="72">
        <f>IFERROR(H361*(IF(G361=8,I361*HELPER!$G$2,BOM!I361*HELPER!$G$3))," ")</f>
        <v/>
      </c>
      <c r="K361" s="6" t="n"/>
      <c r="L361" s="14">
        <f t="array" ref="L361">IFERROR(_xlfn.LET(_xlpm.pairs,_xlfn._xlws.FILTER($A$2:$D$391,($A$2:$A$391&lt;&gt;"")*(TRIM($D$2:$D$391)&lt;&gt;"")),_xlpm.uniquePairs,_xlfn.UNIQUE(_xlfn.HSTACK(INDEX(_xlpm.pairs,,1),INDEX(_xlpm.pairs,,4))),_xlpm.sortedPairs,_xlfn._xlws.SORT(_xlpm.uniquePairs,1,1),IF(ROW()-1&lt;=ROWS(_xlpm.sortedPairs),INDEX(_xlpm.sortedPairs,ROW()-1,1),"")),"")</f>
        <v/>
      </c>
      <c r="M361" s="15">
        <f t="array" ref="M361">IFERROR(_xlfn.LET(_xlpm.pairs,_xlfn._xlws.FILTER($A$2:$D$391,($A$2:$A$391&lt;&gt;"")*(TRIM($D$2:$D$391)&lt;&gt;"")),_xlpm.uniquePairs,_xlfn.UNIQUE(_xlfn.HSTACK(INDEX(_xlpm.pairs,,1),INDEX(_xlpm.pairs,,4))),_xlpm.sortedPairs,_xlfn._xlws.SORT(_xlpm.uniquePairs,1,1),IF(ROW()-1&lt;=ROWS(_xlpm.sortedPairs),INDEX(_xlpm.sortedPairs,ROW()-1,2),"")),"")</f>
        <v/>
      </c>
      <c r="N361" s="15">
        <f t="array" ref="N361">IF(OR(L361="",M361=""),"",IFERROR(INDEX($E$2:$E$391,MATCH(1,($A$2:$A$391=L361)*($D$2:$D$391=M361),0)),""))</f>
        <v/>
      </c>
      <c r="O361" s="69">
        <f>IF(OR(L361="",M361=""),"",SUMIFS($J$2:$J$391,$A$2:$A$391,L361,$D$2:$D$391,M361))</f>
        <v/>
      </c>
      <c r="P361" s="6" t="n"/>
    </row>
    <row r="362">
      <c r="A362" s="44" t="n"/>
      <c r="B362" s="44" t="inlineStr">
        <is>
          <t>Ext. A (Out - Chillroll)</t>
        </is>
      </c>
      <c r="C362" s="43" t="n"/>
      <c r="D362" s="43">
        <f>IF(C362="","",IFERROR(_xlfn.XLOOKUP(C362,HELPER!$A$2:$A$76,HELPER!$B$2:$B$76,""),D362))</f>
        <v/>
      </c>
      <c r="E362" s="43">
        <f>IFERROR(_xlfn.XLOOKUP(D362,HELPER!$B:$B,HELPER!$C:$C,""),"")</f>
        <v/>
      </c>
      <c r="F362" s="42">
        <f>IFERROR(_xlfn.XLOOKUP(D362,HELPER!$B:$B,HELPER!$D:$D,""),"")</f>
        <v/>
      </c>
      <c r="G362" s="42" t="n">
        <v>8</v>
      </c>
      <c r="H362" s="556" t="n"/>
      <c r="I362" s="72">
        <f>IF(AND(H362&lt;&gt;"",IFERROR(_xlfn.XLOOKUP(D362,HELPER!$B:$B,HELPER!$E:$E,""),"")=""),"Missing price",IFERROR(_xlfn.XLOOKUP(D362,HELPER!$B:$B,HELPER!$E:$E,"")," "))</f>
        <v/>
      </c>
      <c r="J362" s="72">
        <f>IFERROR(H362*(IF(G362=8,I362*HELPER!$G$2,BOM!I362*HELPER!$G$3))," ")</f>
        <v/>
      </c>
      <c r="K362" s="6" t="n"/>
      <c r="L362" s="14">
        <f t="array" ref="L362">IFERROR(_xlfn.LET(_xlpm.pairs,_xlfn._xlws.FILTER($A$2:$D$391,($A$2:$A$391&lt;&gt;"")*(TRIM($D$2:$D$391)&lt;&gt;"")),_xlpm.uniquePairs,_xlfn.UNIQUE(_xlfn.HSTACK(INDEX(_xlpm.pairs,,1),INDEX(_xlpm.pairs,,4))),_xlpm.sortedPairs,_xlfn._xlws.SORT(_xlpm.uniquePairs,1,1),IF(ROW()-1&lt;=ROWS(_xlpm.sortedPairs),INDEX(_xlpm.sortedPairs,ROW()-1,1),"")),"")</f>
        <v/>
      </c>
      <c r="M362" s="15">
        <f t="array" ref="M362">IFERROR(_xlfn.LET(_xlpm.pairs,_xlfn._xlws.FILTER($A$2:$D$391,($A$2:$A$391&lt;&gt;"")*(TRIM($D$2:$D$391)&lt;&gt;"")),_xlpm.uniquePairs,_xlfn.UNIQUE(_xlfn.HSTACK(INDEX(_xlpm.pairs,,1),INDEX(_xlpm.pairs,,4))),_xlpm.sortedPairs,_xlfn._xlws.SORT(_xlpm.uniquePairs,1,1),IF(ROW()-1&lt;=ROWS(_xlpm.sortedPairs),INDEX(_xlpm.sortedPairs,ROW()-1,2),"")),"")</f>
        <v/>
      </c>
      <c r="N362" s="15">
        <f t="array" ref="N362">IF(OR(L362="",M362=""),"",IFERROR(INDEX($E$2:$E$391,MATCH(1,($A$2:$A$391=L362)*($D$2:$D$391=M362),0)),""))</f>
        <v/>
      </c>
      <c r="O362" s="69">
        <f>IF(OR(L362="",M362=""),"",SUMIFS($J$2:$J$391,$A$2:$A$391,L362,$D$2:$D$391,M362))</f>
        <v/>
      </c>
      <c r="P362" s="6" t="n"/>
    </row>
    <row r="363">
      <c r="A363" s="44" t="n"/>
      <c r="B363" s="44" t="inlineStr">
        <is>
          <t>Ext. A (Out - Chillroll)</t>
        </is>
      </c>
      <c r="C363" s="43" t="n"/>
      <c r="D363" s="43">
        <f>IF(C363="","",IFERROR(_xlfn.XLOOKUP(C363,HELPER!$A$2:$A$76,HELPER!$B$2:$B$76,""),D363))</f>
        <v/>
      </c>
      <c r="E363" s="43">
        <f>IFERROR(_xlfn.XLOOKUP(D363,HELPER!$B:$B,HELPER!$C:$C,""),"")</f>
        <v/>
      </c>
      <c r="F363" s="42">
        <f>IFERROR(_xlfn.XLOOKUP(D363,HELPER!$B:$B,HELPER!$D:$D,""),"")</f>
        <v/>
      </c>
      <c r="G363" s="42" t="n">
        <v>8</v>
      </c>
      <c r="H363" s="556" t="n"/>
      <c r="I363" s="72">
        <f>IF(AND(H363&lt;&gt;"",IFERROR(_xlfn.XLOOKUP(D363,HELPER!$B:$B,HELPER!$E:$E,""),"")=""),"Missing price",IFERROR(_xlfn.XLOOKUP(D363,HELPER!$B:$B,HELPER!$E:$E,"")," "))</f>
        <v/>
      </c>
      <c r="J363" s="72">
        <f>IFERROR(H363*(IF(G363=8,I363*HELPER!$G$2,BOM!I363*HELPER!$G$3))," ")</f>
        <v/>
      </c>
      <c r="K363" s="6" t="n"/>
      <c r="L363" s="14">
        <f t="array" ref="L363">IFERROR(_xlfn.LET(_xlpm.pairs,_xlfn._xlws.FILTER($A$2:$D$391,($A$2:$A$391&lt;&gt;"")*(TRIM($D$2:$D$391)&lt;&gt;"")),_xlpm.uniquePairs,_xlfn.UNIQUE(_xlfn.HSTACK(INDEX(_xlpm.pairs,,1),INDEX(_xlpm.pairs,,4))),_xlpm.sortedPairs,_xlfn._xlws.SORT(_xlpm.uniquePairs,1,1),IF(ROW()-1&lt;=ROWS(_xlpm.sortedPairs),INDEX(_xlpm.sortedPairs,ROW()-1,1),"")),"")</f>
        <v/>
      </c>
      <c r="M363" s="15">
        <f t="array" ref="M363">IFERROR(_xlfn.LET(_xlpm.pairs,_xlfn._xlws.FILTER($A$2:$D$391,($A$2:$A$391&lt;&gt;"")*(TRIM($D$2:$D$391)&lt;&gt;"")),_xlpm.uniquePairs,_xlfn.UNIQUE(_xlfn.HSTACK(INDEX(_xlpm.pairs,,1),INDEX(_xlpm.pairs,,4))),_xlpm.sortedPairs,_xlfn._xlws.SORT(_xlpm.uniquePairs,1,1),IF(ROW()-1&lt;=ROWS(_xlpm.sortedPairs),INDEX(_xlpm.sortedPairs,ROW()-1,2),"")),"")</f>
        <v/>
      </c>
      <c r="N363" s="15">
        <f t="array" ref="N363">IF(OR(L363="",M363=""),"",IFERROR(INDEX($E$2:$E$391,MATCH(1,($A$2:$A$391=L363)*($D$2:$D$391=M363),0)),""))</f>
        <v/>
      </c>
      <c r="O363" s="69">
        <f>IF(OR(L363="",M363=""),"",SUMIFS($J$2:$J$391,$A$2:$A$391,L363,$D$2:$D$391,M363))</f>
        <v/>
      </c>
      <c r="P363" s="6" t="n"/>
    </row>
    <row r="364">
      <c r="A364" s="44" t="n"/>
      <c r="B364" s="44" t="inlineStr">
        <is>
          <t>Ext. A (Out - Chillroll)</t>
        </is>
      </c>
      <c r="C364" s="43" t="n"/>
      <c r="D364" s="43">
        <f>IF(C364="","",IFERROR(_xlfn.XLOOKUP(C364,HELPER!$A$2:$A$76,HELPER!$B$2:$B$76,""),D364))</f>
        <v/>
      </c>
      <c r="E364" s="43">
        <f>IFERROR(_xlfn.XLOOKUP(D364,HELPER!$B:$B,HELPER!$C:$C,""),"")</f>
        <v/>
      </c>
      <c r="F364" s="42">
        <f>IFERROR(_xlfn.XLOOKUP(D364,HELPER!$B:$B,HELPER!$D:$D,""),"")</f>
        <v/>
      </c>
      <c r="G364" s="42" t="n">
        <v>8</v>
      </c>
      <c r="H364" s="556" t="n"/>
      <c r="I364" s="72">
        <f>IF(AND(H364&lt;&gt;"",IFERROR(_xlfn.XLOOKUP(D364,HELPER!$B:$B,HELPER!$E:$E,""),"")=""),"Missing price",IFERROR(_xlfn.XLOOKUP(D364,HELPER!$B:$B,HELPER!$E:$E,"")," "))</f>
        <v/>
      </c>
      <c r="J364" s="72">
        <f>IFERROR(H364*(IF(G364=8,I364*HELPER!$G$2,BOM!I364*HELPER!$G$3))," ")</f>
        <v/>
      </c>
      <c r="K364" s="6" t="n"/>
      <c r="L364" s="14">
        <f t="array" ref="L364">IFERROR(_xlfn.LET(_xlpm.pairs,_xlfn._xlws.FILTER($A$2:$D$391,($A$2:$A$391&lt;&gt;"")*(TRIM($D$2:$D$391)&lt;&gt;"")),_xlpm.uniquePairs,_xlfn.UNIQUE(_xlfn.HSTACK(INDEX(_xlpm.pairs,,1),INDEX(_xlpm.pairs,,4))),_xlpm.sortedPairs,_xlfn._xlws.SORT(_xlpm.uniquePairs,1,1),IF(ROW()-1&lt;=ROWS(_xlpm.sortedPairs),INDEX(_xlpm.sortedPairs,ROW()-1,1),"")),"")</f>
        <v/>
      </c>
      <c r="M364" s="15">
        <f t="array" ref="M364">IFERROR(_xlfn.LET(_xlpm.pairs,_xlfn._xlws.FILTER($A$2:$D$391,($A$2:$A$391&lt;&gt;"")*(TRIM($D$2:$D$391)&lt;&gt;"")),_xlpm.uniquePairs,_xlfn.UNIQUE(_xlfn.HSTACK(INDEX(_xlpm.pairs,,1),INDEX(_xlpm.pairs,,4))),_xlpm.sortedPairs,_xlfn._xlws.SORT(_xlpm.uniquePairs,1,1),IF(ROW()-1&lt;=ROWS(_xlpm.sortedPairs),INDEX(_xlpm.sortedPairs,ROW()-1,2),"")),"")</f>
        <v/>
      </c>
      <c r="N364" s="15">
        <f t="array" ref="N364">IF(OR(L364="",M364=""),"",IFERROR(INDEX($E$2:$E$391,MATCH(1,($A$2:$A$391=L364)*($D$2:$D$391=M364),0)),""))</f>
        <v/>
      </c>
      <c r="O364" s="69">
        <f>IF(OR(L364="",M364=""),"",SUMIFS($J$2:$J$391,$A$2:$A$391,L364,$D$2:$D$391,M364))</f>
        <v/>
      </c>
      <c r="P364" s="6" t="n"/>
    </row>
    <row r="365">
      <c r="A365" s="44" t="n"/>
      <c r="B365" s="44" t="inlineStr">
        <is>
          <t>Ext. A (Out - Chillroll)</t>
        </is>
      </c>
      <c r="C365" s="43" t="n"/>
      <c r="D365" s="43">
        <f>IF(C365="","",IFERROR(_xlfn.XLOOKUP(C365,HELPER!$A$2:$A$76,HELPER!$B$2:$B$76,""),D365))</f>
        <v/>
      </c>
      <c r="E365" s="43">
        <f>IFERROR(_xlfn.XLOOKUP(D365,HELPER!$B:$B,HELPER!$C:$C,""),"")</f>
        <v/>
      </c>
      <c r="F365" s="42">
        <f>IFERROR(_xlfn.XLOOKUP(D365,HELPER!$B:$B,HELPER!$D:$D,""),"")</f>
        <v/>
      </c>
      <c r="G365" s="42" t="n">
        <v>8</v>
      </c>
      <c r="H365" s="556" t="n"/>
      <c r="I365" s="72">
        <f>IF(AND(H365&lt;&gt;"",IFERROR(_xlfn.XLOOKUP(D365,HELPER!$B:$B,HELPER!$E:$E,""),"")=""),"Missing price",IFERROR(_xlfn.XLOOKUP(D365,HELPER!$B:$B,HELPER!$E:$E,"")," "))</f>
        <v/>
      </c>
      <c r="J365" s="72">
        <f>IFERROR(H365*(IF(G365=8,I365*HELPER!$G$2,BOM!I365*HELPER!$G$3))," ")</f>
        <v/>
      </c>
      <c r="K365" s="6" t="n"/>
      <c r="L365" s="14">
        <f t="array" ref="L365">IFERROR(_xlfn.LET(_xlpm.pairs,_xlfn._xlws.FILTER($A$2:$D$391,($A$2:$A$391&lt;&gt;"")*(TRIM($D$2:$D$391)&lt;&gt;"")),_xlpm.uniquePairs,_xlfn.UNIQUE(_xlfn.HSTACK(INDEX(_xlpm.pairs,,1),INDEX(_xlpm.pairs,,4))),_xlpm.sortedPairs,_xlfn._xlws.SORT(_xlpm.uniquePairs,1,1),IF(ROW()-1&lt;=ROWS(_xlpm.sortedPairs),INDEX(_xlpm.sortedPairs,ROW()-1,1),"")),"")</f>
        <v/>
      </c>
      <c r="M365" s="15">
        <f t="array" ref="M365">IFERROR(_xlfn.LET(_xlpm.pairs,_xlfn._xlws.FILTER($A$2:$D$391,($A$2:$A$391&lt;&gt;"")*(TRIM($D$2:$D$391)&lt;&gt;"")),_xlpm.uniquePairs,_xlfn.UNIQUE(_xlfn.HSTACK(INDEX(_xlpm.pairs,,1),INDEX(_xlpm.pairs,,4))),_xlpm.sortedPairs,_xlfn._xlws.SORT(_xlpm.uniquePairs,1,1),IF(ROW()-1&lt;=ROWS(_xlpm.sortedPairs),INDEX(_xlpm.sortedPairs,ROW()-1,2),"")),"")</f>
        <v/>
      </c>
      <c r="N365" s="15">
        <f t="array" ref="N365">IF(OR(L365="",M365=""),"",IFERROR(INDEX($E$2:$E$391,MATCH(1,($A$2:$A$391=L365)*($D$2:$D$391=M365),0)),""))</f>
        <v/>
      </c>
      <c r="O365" s="69">
        <f>IF(OR(L365="",M365=""),"",SUMIFS($J$2:$J$391,$A$2:$A$391,L365,$D$2:$D$391,M365))</f>
        <v/>
      </c>
      <c r="P365" s="6" t="n"/>
    </row>
    <row r="366">
      <c r="A366" s="44" t="n"/>
      <c r="B366" s="44" t="inlineStr">
        <is>
          <t>Ext. A (Out - Chillroll)</t>
        </is>
      </c>
      <c r="C366" s="43" t="n"/>
      <c r="D366" s="43">
        <f>IF(C366="","",IFERROR(_xlfn.XLOOKUP(C366,HELPER!$A$2:$A$76,HELPER!$B$2:$B$76,""),D366))</f>
        <v/>
      </c>
      <c r="E366" s="43">
        <f>IFERROR(_xlfn.XLOOKUP(D366,HELPER!$B:$B,HELPER!$C:$C,""),"")</f>
        <v/>
      </c>
      <c r="F366" s="42">
        <f>IFERROR(_xlfn.XLOOKUP(D366,HELPER!$B:$B,HELPER!$D:$D,""),"")</f>
        <v/>
      </c>
      <c r="G366" s="42" t="n">
        <v>8</v>
      </c>
      <c r="H366" s="556" t="n"/>
      <c r="I366" s="72">
        <f>IF(AND(H366&lt;&gt;"",IFERROR(_xlfn.XLOOKUP(D366,HELPER!$B:$B,HELPER!$E:$E,""),"")=""),"Missing price",IFERROR(_xlfn.XLOOKUP(D366,HELPER!$B:$B,HELPER!$E:$E,"")," "))</f>
        <v/>
      </c>
      <c r="J366" s="72">
        <f>IFERROR(H366*(IF(G366=8,I366*HELPER!$G$2,BOM!I366*HELPER!$G$3))," ")</f>
        <v/>
      </c>
      <c r="K366" s="6" t="n"/>
      <c r="L366" s="14">
        <f t="array" ref="L366">IFERROR(_xlfn.LET(_xlpm.pairs,_xlfn._xlws.FILTER($A$2:$D$391,($A$2:$A$391&lt;&gt;"")*(TRIM($D$2:$D$391)&lt;&gt;"")),_xlpm.uniquePairs,_xlfn.UNIQUE(_xlfn.HSTACK(INDEX(_xlpm.pairs,,1),INDEX(_xlpm.pairs,,4))),_xlpm.sortedPairs,_xlfn._xlws.SORT(_xlpm.uniquePairs,1,1),IF(ROW()-1&lt;=ROWS(_xlpm.sortedPairs),INDEX(_xlpm.sortedPairs,ROW()-1,1),"")),"")</f>
        <v/>
      </c>
      <c r="M366" s="15">
        <f t="array" ref="M366">IFERROR(_xlfn.LET(_xlpm.pairs,_xlfn._xlws.FILTER($A$2:$D$391,($A$2:$A$391&lt;&gt;"")*(TRIM($D$2:$D$391)&lt;&gt;"")),_xlpm.uniquePairs,_xlfn.UNIQUE(_xlfn.HSTACK(INDEX(_xlpm.pairs,,1),INDEX(_xlpm.pairs,,4))),_xlpm.sortedPairs,_xlfn._xlws.SORT(_xlpm.uniquePairs,1,1),IF(ROW()-1&lt;=ROWS(_xlpm.sortedPairs),INDEX(_xlpm.sortedPairs,ROW()-1,2),"")),"")</f>
        <v/>
      </c>
      <c r="N366" s="15">
        <f t="array" ref="N366">IF(OR(L366="",M366=""),"",IFERROR(INDEX($E$2:$E$391,MATCH(1,($A$2:$A$391=L366)*($D$2:$D$391=M366),0)),""))</f>
        <v/>
      </c>
      <c r="O366" s="69">
        <f>IF(OR(L366="",M366=""),"",SUMIFS($J$2:$J$391,$A$2:$A$391,L366,$D$2:$D$391,M366))</f>
        <v/>
      </c>
      <c r="P366" s="6" t="n"/>
    </row>
    <row r="367">
      <c r="A367" s="44" t="n"/>
      <c r="B367" s="44" t="inlineStr">
        <is>
          <t>Ext. A (Out - Chillroll)</t>
        </is>
      </c>
      <c r="C367" s="43" t="n"/>
      <c r="D367" s="43">
        <f>IF(C367="","",IFERROR(_xlfn.XLOOKUP(C367,HELPER!$A$2:$A$76,HELPER!$B$2:$B$76,""),D367))</f>
        <v/>
      </c>
      <c r="E367" s="43">
        <f>IFERROR(_xlfn.XLOOKUP(D367,HELPER!$B:$B,HELPER!$C:$C,""),"")</f>
        <v/>
      </c>
      <c r="F367" s="42">
        <f>IFERROR(_xlfn.XLOOKUP(D367,HELPER!$B:$B,HELPER!$D:$D,""),"")</f>
        <v/>
      </c>
      <c r="G367" s="42" t="n">
        <v>8</v>
      </c>
      <c r="H367" s="556" t="n"/>
      <c r="I367" s="72">
        <f>IF(AND(H367&lt;&gt;"",IFERROR(_xlfn.XLOOKUP(D367,HELPER!$B:$B,HELPER!$E:$E,""),"")=""),"Missing price",IFERROR(_xlfn.XLOOKUP(D367,HELPER!$B:$B,HELPER!$E:$E,"")," "))</f>
        <v/>
      </c>
      <c r="J367" s="72">
        <f>IFERROR(H367*(IF(G367=8,I367*HELPER!$G$2,BOM!I367*HELPER!$G$3))," ")</f>
        <v/>
      </c>
      <c r="K367" s="6" t="n"/>
      <c r="L367" s="14">
        <f t="array" ref="L367">IFERROR(_xlfn.LET(_xlpm.pairs,_xlfn._xlws.FILTER($A$2:$D$391,($A$2:$A$391&lt;&gt;"")*(TRIM($D$2:$D$391)&lt;&gt;"")),_xlpm.uniquePairs,_xlfn.UNIQUE(_xlfn.HSTACK(INDEX(_xlpm.pairs,,1),INDEX(_xlpm.pairs,,4))),_xlpm.sortedPairs,_xlfn._xlws.SORT(_xlpm.uniquePairs,1,1),IF(ROW()-1&lt;=ROWS(_xlpm.sortedPairs),INDEX(_xlpm.sortedPairs,ROW()-1,1),"")),"")</f>
        <v/>
      </c>
      <c r="M367" s="15">
        <f t="array" ref="M367">IFERROR(_xlfn.LET(_xlpm.pairs,_xlfn._xlws.FILTER($A$2:$D$391,($A$2:$A$391&lt;&gt;"")*(TRIM($D$2:$D$391)&lt;&gt;"")),_xlpm.uniquePairs,_xlfn.UNIQUE(_xlfn.HSTACK(INDEX(_xlpm.pairs,,1),INDEX(_xlpm.pairs,,4))),_xlpm.sortedPairs,_xlfn._xlws.SORT(_xlpm.uniquePairs,1,1),IF(ROW()-1&lt;=ROWS(_xlpm.sortedPairs),INDEX(_xlpm.sortedPairs,ROW()-1,2),"")),"")</f>
        <v/>
      </c>
      <c r="N367" s="15">
        <f t="array" ref="N367">IF(OR(L367="",M367=""),"",IFERROR(INDEX($E$2:$E$391,MATCH(1,($A$2:$A$391=L367)*($D$2:$D$391=M367),0)),""))</f>
        <v/>
      </c>
      <c r="O367" s="69">
        <f>IF(OR(L367="",M367=""),"",SUMIFS($J$2:$J$391,$A$2:$A$391,L367,$D$2:$D$391,M367))</f>
        <v/>
      </c>
      <c r="P367" s="6" t="n"/>
    </row>
    <row r="368">
      <c r="A368" s="44" t="n"/>
      <c r="B368" s="44" t="inlineStr">
        <is>
          <t>Ext. A (Out - Chillroll)</t>
        </is>
      </c>
      <c r="C368" s="43" t="n"/>
      <c r="D368" s="43">
        <f>IF(C368="","",IFERROR(_xlfn.XLOOKUP(C368,HELPER!$A$2:$A$76,HELPER!$B$2:$B$76,""),D368))</f>
        <v/>
      </c>
      <c r="E368" s="43">
        <f>IFERROR(_xlfn.XLOOKUP(D368,HELPER!$B:$B,HELPER!$C:$C,""),"")</f>
        <v/>
      </c>
      <c r="F368" s="42">
        <f>IFERROR(_xlfn.XLOOKUP(D368,HELPER!$B:$B,HELPER!$D:$D,""),"")</f>
        <v/>
      </c>
      <c r="G368" s="42" t="n">
        <v>8</v>
      </c>
      <c r="H368" s="556" t="n"/>
      <c r="I368" s="72">
        <f>IF(AND(H368&lt;&gt;"",IFERROR(_xlfn.XLOOKUP(D368,HELPER!$B:$B,HELPER!$E:$E,""),"")=""),"Missing price",IFERROR(_xlfn.XLOOKUP(D368,HELPER!$B:$B,HELPER!$E:$E,"")," "))</f>
        <v/>
      </c>
      <c r="J368" s="72">
        <f>IFERROR(H368*(IF(G368=8,I368*HELPER!$G$2,BOM!I368*HELPER!$G$3))," ")</f>
        <v/>
      </c>
      <c r="K368" s="6" t="n"/>
      <c r="L368" s="14">
        <f t="array" ref="L368">IFERROR(_xlfn.LET(_xlpm.pairs,_xlfn._xlws.FILTER($A$2:$D$391,($A$2:$A$391&lt;&gt;"")*(TRIM($D$2:$D$391)&lt;&gt;"")),_xlpm.uniquePairs,_xlfn.UNIQUE(_xlfn.HSTACK(INDEX(_xlpm.pairs,,1),INDEX(_xlpm.pairs,,4))),_xlpm.sortedPairs,_xlfn._xlws.SORT(_xlpm.uniquePairs,1,1),IF(ROW()-1&lt;=ROWS(_xlpm.sortedPairs),INDEX(_xlpm.sortedPairs,ROW()-1,1),"")),"")</f>
        <v/>
      </c>
      <c r="M368" s="15">
        <f t="array" ref="M368">IFERROR(_xlfn.LET(_xlpm.pairs,_xlfn._xlws.FILTER($A$2:$D$391,($A$2:$A$391&lt;&gt;"")*(TRIM($D$2:$D$391)&lt;&gt;"")),_xlpm.uniquePairs,_xlfn.UNIQUE(_xlfn.HSTACK(INDEX(_xlpm.pairs,,1),INDEX(_xlpm.pairs,,4))),_xlpm.sortedPairs,_xlfn._xlws.SORT(_xlpm.uniquePairs,1,1),IF(ROW()-1&lt;=ROWS(_xlpm.sortedPairs),INDEX(_xlpm.sortedPairs,ROW()-1,2),"")),"")</f>
        <v/>
      </c>
      <c r="N368" s="15">
        <f t="array" ref="N368">IF(OR(L368="",M368=""),"",IFERROR(INDEX($E$2:$E$391,MATCH(1,($A$2:$A$391=L368)*($D$2:$D$391=M368),0)),""))</f>
        <v/>
      </c>
      <c r="O368" s="69">
        <f>IF(OR(L368="",M368=""),"",SUMIFS($J$2:$J$391,$A$2:$A$391,L368,$D$2:$D$391,M368))</f>
        <v/>
      </c>
      <c r="P368" s="6" t="n"/>
    </row>
    <row r="369">
      <c r="A369" s="44" t="n"/>
      <c r="B369" s="44" t="inlineStr">
        <is>
          <t>Ext. A (Out - Chillroll)</t>
        </is>
      </c>
      <c r="C369" s="43" t="n"/>
      <c r="D369" s="43">
        <f>IF(C369="","",IFERROR(_xlfn.XLOOKUP(C369,HELPER!$A$2:$A$76,HELPER!$B$2:$B$76,""),D369))</f>
        <v/>
      </c>
      <c r="E369" s="43">
        <f>IFERROR(_xlfn.XLOOKUP(D369,HELPER!$B:$B,HELPER!$C:$C,""),"")</f>
        <v/>
      </c>
      <c r="F369" s="42">
        <f>IFERROR(_xlfn.XLOOKUP(D369,HELPER!$B:$B,HELPER!$D:$D,""),"")</f>
        <v/>
      </c>
      <c r="G369" s="42" t="n">
        <v>8</v>
      </c>
      <c r="H369" s="556" t="n"/>
      <c r="I369" s="72">
        <f>IF(AND(H369&lt;&gt;"",IFERROR(_xlfn.XLOOKUP(D369,HELPER!$B:$B,HELPER!$E:$E,""),"")=""),"Missing price",IFERROR(_xlfn.XLOOKUP(D369,HELPER!$B:$B,HELPER!$E:$E,"")," "))</f>
        <v/>
      </c>
      <c r="J369" s="72">
        <f>IFERROR(H369*(IF(G369=8,I369*HELPER!$G$2,BOM!I369*HELPER!$G$3))," ")</f>
        <v/>
      </c>
      <c r="K369" s="6" t="n"/>
      <c r="L369" s="14">
        <f t="array" ref="L369">IFERROR(_xlfn.LET(_xlpm.pairs,_xlfn._xlws.FILTER($A$2:$D$391,($A$2:$A$391&lt;&gt;"")*(TRIM($D$2:$D$391)&lt;&gt;"")),_xlpm.uniquePairs,_xlfn.UNIQUE(_xlfn.HSTACK(INDEX(_xlpm.pairs,,1),INDEX(_xlpm.pairs,,4))),_xlpm.sortedPairs,_xlfn._xlws.SORT(_xlpm.uniquePairs,1,1),IF(ROW()-1&lt;=ROWS(_xlpm.sortedPairs),INDEX(_xlpm.sortedPairs,ROW()-1,1),"")),"")</f>
        <v/>
      </c>
      <c r="M369" s="15">
        <f t="array" ref="M369">IFERROR(_xlfn.LET(_xlpm.pairs,_xlfn._xlws.FILTER($A$2:$D$391,($A$2:$A$391&lt;&gt;"")*(TRIM($D$2:$D$391)&lt;&gt;"")),_xlpm.uniquePairs,_xlfn.UNIQUE(_xlfn.HSTACK(INDEX(_xlpm.pairs,,1),INDEX(_xlpm.pairs,,4))),_xlpm.sortedPairs,_xlfn._xlws.SORT(_xlpm.uniquePairs,1,1),IF(ROW()-1&lt;=ROWS(_xlpm.sortedPairs),INDEX(_xlpm.sortedPairs,ROW()-1,2),"")),"")</f>
        <v/>
      </c>
      <c r="N369" s="15">
        <f t="array" ref="N369">IF(OR(L369="",M369=""),"",IFERROR(INDEX($E$2:$E$391,MATCH(1,($A$2:$A$391=L369)*($D$2:$D$391=M369),0)),""))</f>
        <v/>
      </c>
      <c r="O369" s="69">
        <f>IF(OR(L369="",M369=""),"",SUMIFS($J$2:$J$391,$A$2:$A$391,L369,$D$2:$D$391,M369))</f>
        <v/>
      </c>
      <c r="P369" s="6" t="n"/>
    </row>
    <row r="370">
      <c r="A370" s="44" t="n"/>
      <c r="B370" s="44" t="inlineStr">
        <is>
          <t>Ext. A (Out - Chillroll)</t>
        </is>
      </c>
      <c r="C370" s="43" t="n"/>
      <c r="D370" s="43">
        <f>IF(C370="","",IFERROR(_xlfn.XLOOKUP(C370,HELPER!$A$2:$A$76,HELPER!$B$2:$B$76,""),D370))</f>
        <v/>
      </c>
      <c r="E370" s="43">
        <f>IFERROR(_xlfn.XLOOKUP(D370,HELPER!$B:$B,HELPER!$C:$C,""),"")</f>
        <v/>
      </c>
      <c r="F370" s="42">
        <f>IFERROR(_xlfn.XLOOKUP(D370,HELPER!$B:$B,HELPER!$D:$D,""),"")</f>
        <v/>
      </c>
      <c r="G370" s="42" t="n">
        <v>8</v>
      </c>
      <c r="H370" s="556" t="n"/>
      <c r="I370" s="72">
        <f>IF(AND(H370&lt;&gt;"",IFERROR(_xlfn.XLOOKUP(D370,HELPER!$B:$B,HELPER!$E:$E,""),"")=""),"Missing price",IFERROR(_xlfn.XLOOKUP(D370,HELPER!$B:$B,HELPER!$E:$E,"")," "))</f>
        <v/>
      </c>
      <c r="J370" s="72">
        <f>IFERROR(H370*(IF(G370=8,I370*HELPER!$G$2,BOM!I370*HELPER!$G$3))," ")</f>
        <v/>
      </c>
      <c r="K370" s="6" t="n"/>
      <c r="L370" s="14">
        <f t="array" ref="L370">IFERROR(_xlfn.LET(_xlpm.pairs,_xlfn._xlws.FILTER($A$2:$D$391,($A$2:$A$391&lt;&gt;"")*(TRIM($D$2:$D$391)&lt;&gt;"")),_xlpm.uniquePairs,_xlfn.UNIQUE(_xlfn.HSTACK(INDEX(_xlpm.pairs,,1),INDEX(_xlpm.pairs,,4))),_xlpm.sortedPairs,_xlfn._xlws.SORT(_xlpm.uniquePairs,1,1),IF(ROW()-1&lt;=ROWS(_xlpm.sortedPairs),INDEX(_xlpm.sortedPairs,ROW()-1,1),"")),"")</f>
        <v/>
      </c>
      <c r="M370" s="15">
        <f t="array" ref="M370">IFERROR(_xlfn.LET(_xlpm.pairs,_xlfn._xlws.FILTER($A$2:$D$391,($A$2:$A$391&lt;&gt;"")*(TRIM($D$2:$D$391)&lt;&gt;"")),_xlpm.uniquePairs,_xlfn.UNIQUE(_xlfn.HSTACK(INDEX(_xlpm.pairs,,1),INDEX(_xlpm.pairs,,4))),_xlpm.sortedPairs,_xlfn._xlws.SORT(_xlpm.uniquePairs,1,1),IF(ROW()-1&lt;=ROWS(_xlpm.sortedPairs),INDEX(_xlpm.sortedPairs,ROW()-1,2),"")),"")</f>
        <v/>
      </c>
      <c r="N370" s="15">
        <f t="array" ref="N370">IF(OR(L370="",M370=""),"",IFERROR(INDEX($E$2:$E$391,MATCH(1,($A$2:$A$391=L370)*($D$2:$D$391=M370),0)),""))</f>
        <v/>
      </c>
      <c r="O370" s="69">
        <f>IF(OR(L370="",M370=""),"",SUMIFS($J$2:$J$391,$A$2:$A$391,L370,$D$2:$D$391,M370))</f>
        <v/>
      </c>
      <c r="P370" s="6" t="n"/>
    </row>
    <row r="371">
      <c r="A371" s="44" t="n"/>
      <c r="B371" s="44" t="inlineStr">
        <is>
          <t>Ext. A (Out - Chillroll)</t>
        </is>
      </c>
      <c r="C371" s="43" t="n"/>
      <c r="D371" s="43">
        <f>IF(C371="","",IFERROR(_xlfn.XLOOKUP(C371,HELPER!$A$2:$A$76,HELPER!$B$2:$B$76,""),D371))</f>
        <v/>
      </c>
      <c r="E371" s="43">
        <f>IFERROR(_xlfn.XLOOKUP(D371,HELPER!$B:$B,HELPER!$C:$C,""),"")</f>
        <v/>
      </c>
      <c r="F371" s="42">
        <f>IFERROR(_xlfn.XLOOKUP(D371,HELPER!$B:$B,HELPER!$D:$D,""),"")</f>
        <v/>
      </c>
      <c r="G371" s="42" t="n">
        <v>8</v>
      </c>
      <c r="H371" s="556" t="n"/>
      <c r="I371" s="72">
        <f>IF(AND(H371&lt;&gt;"",IFERROR(_xlfn.XLOOKUP(D371,HELPER!$B:$B,HELPER!$E:$E,""),"")=""),"Missing price",IFERROR(_xlfn.XLOOKUP(D371,HELPER!$B:$B,HELPER!$E:$E,"")," "))</f>
        <v/>
      </c>
      <c r="J371" s="72">
        <f>IFERROR(H371*(IF(G371=8,I371*HELPER!$G$2,BOM!I371*HELPER!$G$3))," ")</f>
        <v/>
      </c>
      <c r="K371" s="6" t="n"/>
      <c r="L371" s="14">
        <f t="array" ref="L371">IFERROR(_xlfn.LET(_xlpm.pairs,_xlfn._xlws.FILTER($A$2:$D$391,($A$2:$A$391&lt;&gt;"")*(TRIM($D$2:$D$391)&lt;&gt;"")),_xlpm.uniquePairs,_xlfn.UNIQUE(_xlfn.HSTACK(INDEX(_xlpm.pairs,,1),INDEX(_xlpm.pairs,,4))),_xlpm.sortedPairs,_xlfn._xlws.SORT(_xlpm.uniquePairs,1,1),IF(ROW()-1&lt;=ROWS(_xlpm.sortedPairs),INDEX(_xlpm.sortedPairs,ROW()-1,1),"")),"")</f>
        <v/>
      </c>
      <c r="M371" s="15">
        <f t="array" ref="M371">IFERROR(_xlfn.LET(_xlpm.pairs,_xlfn._xlws.FILTER($A$2:$D$391,($A$2:$A$391&lt;&gt;"")*(TRIM($D$2:$D$391)&lt;&gt;"")),_xlpm.uniquePairs,_xlfn.UNIQUE(_xlfn.HSTACK(INDEX(_xlpm.pairs,,1),INDEX(_xlpm.pairs,,4))),_xlpm.sortedPairs,_xlfn._xlws.SORT(_xlpm.uniquePairs,1,1),IF(ROW()-1&lt;=ROWS(_xlpm.sortedPairs),INDEX(_xlpm.sortedPairs,ROW()-1,2),"")),"")</f>
        <v/>
      </c>
      <c r="N371" s="15">
        <f t="array" ref="N371">IF(OR(L371="",M371=""),"",IFERROR(INDEX($E$2:$E$391,MATCH(1,($A$2:$A$391=L371)*($D$2:$D$391=M371),0)),""))</f>
        <v/>
      </c>
      <c r="O371" s="69">
        <f>IF(OR(L371="",M371=""),"",SUMIFS($J$2:$J$391,$A$2:$A$391,L371,$D$2:$D$391,M371))</f>
        <v/>
      </c>
      <c r="P371" s="6" t="n"/>
    </row>
    <row r="372">
      <c r="A372" s="44" t="n"/>
      <c r="B372" s="44" t="inlineStr">
        <is>
          <t xml:space="preserve">Ext. B </t>
        </is>
      </c>
      <c r="C372" s="43" t="n"/>
      <c r="D372" s="43">
        <f>IF(C372="","",IFERROR(_xlfn.XLOOKUP(C372,HELPER!$A$2:$A$76,HELPER!$B$2:$B$76,""),D372))</f>
        <v/>
      </c>
      <c r="E372" s="43">
        <f>IFERROR(_xlfn.XLOOKUP(D372,HELPER!$B:$B,HELPER!$C:$C,""),"")</f>
        <v/>
      </c>
      <c r="F372" s="42">
        <f>IFERROR(_xlfn.XLOOKUP(D372,HELPER!$B:$B,HELPER!$D:$D,""),"")</f>
        <v/>
      </c>
      <c r="G372" s="42" t="n">
        <v>24</v>
      </c>
      <c r="H372" s="556" t="n"/>
      <c r="I372" s="72">
        <f>IF(AND(H372&lt;&gt;"",IFERROR(_xlfn.XLOOKUP(D372,HELPER!$B:$B,HELPER!$E:$E,""),"")=""),"Missing price",IFERROR(_xlfn.XLOOKUP(D372,HELPER!$B:$B,HELPER!$E:$E,"")," "))</f>
        <v/>
      </c>
      <c r="J372" s="72">
        <f>IFERROR(H372*(IF(G372=8,I372*HELPER!$G$2,BOM!I372*HELPER!$G$3))," ")</f>
        <v/>
      </c>
      <c r="K372" s="6" t="n"/>
      <c r="L372" s="14">
        <f t="array" ref="L372">IFERROR(_xlfn.LET(_xlpm.pairs,_xlfn._xlws.FILTER($A$2:$D$391,($A$2:$A$391&lt;&gt;"")*(TRIM($D$2:$D$391)&lt;&gt;"")),_xlpm.uniquePairs,_xlfn.UNIQUE(_xlfn.HSTACK(INDEX(_xlpm.pairs,,1),INDEX(_xlpm.pairs,,4))),_xlpm.sortedPairs,_xlfn._xlws.SORT(_xlpm.uniquePairs,1,1),IF(ROW()-1&lt;=ROWS(_xlpm.sortedPairs),INDEX(_xlpm.sortedPairs,ROW()-1,1),"")),"")</f>
        <v/>
      </c>
      <c r="M372" s="15">
        <f t="array" ref="M372">IFERROR(_xlfn.LET(_xlpm.pairs,_xlfn._xlws.FILTER($A$2:$D$391,($A$2:$A$391&lt;&gt;"")*(TRIM($D$2:$D$391)&lt;&gt;"")),_xlpm.uniquePairs,_xlfn.UNIQUE(_xlfn.HSTACK(INDEX(_xlpm.pairs,,1),INDEX(_xlpm.pairs,,4))),_xlpm.sortedPairs,_xlfn._xlws.SORT(_xlpm.uniquePairs,1,1),IF(ROW()-1&lt;=ROWS(_xlpm.sortedPairs),INDEX(_xlpm.sortedPairs,ROW()-1,2),"")),"")</f>
        <v/>
      </c>
      <c r="N372" s="15">
        <f t="array" ref="N372">IF(OR(L372="",M372=""),"",IFERROR(INDEX($E$2:$E$391,MATCH(1,($A$2:$A$391=L372)*($D$2:$D$391=M372),0)),""))</f>
        <v/>
      </c>
      <c r="O372" s="69">
        <f>IF(OR(L372="",M372=""),"",SUMIFS($J$2:$J$391,$A$2:$A$391,L372,$D$2:$D$391,M372))</f>
        <v/>
      </c>
      <c r="P372" s="6" t="n"/>
    </row>
    <row r="373">
      <c r="A373" s="44" t="n"/>
      <c r="B373" s="44" t="inlineStr">
        <is>
          <t xml:space="preserve">Ext. B </t>
        </is>
      </c>
      <c r="C373" s="43" t="n"/>
      <c r="D373" s="43">
        <f>IF(C373="","",IFERROR(_xlfn.XLOOKUP(C373,HELPER!$A$2:$A$76,HELPER!$B$2:$B$76,""),D373))</f>
        <v/>
      </c>
      <c r="E373" s="43">
        <f>IFERROR(_xlfn.XLOOKUP(D373,HELPER!$B:$B,HELPER!$C:$C,""),"")</f>
        <v/>
      </c>
      <c r="F373" s="42">
        <f>IFERROR(_xlfn.XLOOKUP(D373,HELPER!$B:$B,HELPER!$D:$D,""),"")</f>
        <v/>
      </c>
      <c r="G373" s="42" t="n">
        <v>24</v>
      </c>
      <c r="H373" s="556" t="n"/>
      <c r="I373" s="72">
        <f>IF(AND(H373&lt;&gt;"",IFERROR(_xlfn.XLOOKUP(D373,HELPER!$B:$B,HELPER!$E:$E,""),"")=""),"Missing price",IFERROR(_xlfn.XLOOKUP(D373,HELPER!$B:$B,HELPER!$E:$E,"")," "))</f>
        <v/>
      </c>
      <c r="J373" s="72">
        <f>IFERROR(H373*(IF(G373=8,I373*HELPER!$G$2,BOM!I373*HELPER!$G$3))," ")</f>
        <v/>
      </c>
      <c r="K373" s="6" t="n"/>
      <c r="L373" s="14">
        <f t="array" ref="L373">IFERROR(_xlfn.LET(_xlpm.pairs,_xlfn._xlws.FILTER($A$2:$D$391,($A$2:$A$391&lt;&gt;"")*(TRIM($D$2:$D$391)&lt;&gt;"")),_xlpm.uniquePairs,_xlfn.UNIQUE(_xlfn.HSTACK(INDEX(_xlpm.pairs,,1),INDEX(_xlpm.pairs,,4))),_xlpm.sortedPairs,_xlfn._xlws.SORT(_xlpm.uniquePairs,1,1),IF(ROW()-1&lt;=ROWS(_xlpm.sortedPairs),INDEX(_xlpm.sortedPairs,ROW()-1,1),"")),"")</f>
        <v/>
      </c>
      <c r="M373" s="15">
        <f t="array" ref="M373">IFERROR(_xlfn.LET(_xlpm.pairs,_xlfn._xlws.FILTER($A$2:$D$391,($A$2:$A$391&lt;&gt;"")*(TRIM($D$2:$D$391)&lt;&gt;"")),_xlpm.uniquePairs,_xlfn.UNIQUE(_xlfn.HSTACK(INDEX(_xlpm.pairs,,1),INDEX(_xlpm.pairs,,4))),_xlpm.sortedPairs,_xlfn._xlws.SORT(_xlpm.uniquePairs,1,1),IF(ROW()-1&lt;=ROWS(_xlpm.sortedPairs),INDEX(_xlpm.sortedPairs,ROW()-1,2),"")),"")</f>
        <v/>
      </c>
      <c r="N373" s="15">
        <f t="array" ref="N373">IF(OR(L373="",M373=""),"",IFERROR(INDEX($E$2:$E$391,MATCH(1,($A$2:$A$391=L373)*($D$2:$D$391=M373),0)),""))</f>
        <v/>
      </c>
      <c r="O373" s="69">
        <f>IF(OR(L373="",M373=""),"",SUMIFS($J$2:$J$391,$A$2:$A$391,L373,$D$2:$D$391,M373))</f>
        <v/>
      </c>
      <c r="P373" s="6" t="n"/>
    </row>
    <row r="374">
      <c r="A374" s="44" t="n"/>
      <c r="B374" s="44" t="inlineStr">
        <is>
          <t xml:space="preserve">Ext. B </t>
        </is>
      </c>
      <c r="C374" s="43" t="n"/>
      <c r="D374" s="43">
        <f>IF(C374="","",IFERROR(_xlfn.XLOOKUP(C374,HELPER!$A$2:$A$76,HELPER!$B$2:$B$76,""),D374))</f>
        <v/>
      </c>
      <c r="E374" s="43">
        <f>IFERROR(_xlfn.XLOOKUP(D374,HELPER!$B:$B,HELPER!$C:$C,""),"")</f>
        <v/>
      </c>
      <c r="F374" s="42">
        <f>IFERROR(_xlfn.XLOOKUP(D374,HELPER!$B:$B,HELPER!$D:$D,""),"")</f>
        <v/>
      </c>
      <c r="G374" s="42" t="n">
        <v>24</v>
      </c>
      <c r="H374" s="556" t="n"/>
      <c r="I374" s="72">
        <f>IF(AND(H374&lt;&gt;"",IFERROR(_xlfn.XLOOKUP(D374,HELPER!$B:$B,HELPER!$E:$E,""),"")=""),"Missing price",IFERROR(_xlfn.XLOOKUP(D374,HELPER!$B:$B,HELPER!$E:$E,"")," "))</f>
        <v/>
      </c>
      <c r="J374" s="72">
        <f>IFERROR(H374*(IF(G374=8,I374*HELPER!$G$2,BOM!I374*HELPER!$G$3))," ")</f>
        <v/>
      </c>
      <c r="K374" s="6" t="n"/>
      <c r="L374" s="14">
        <f t="array" ref="L374">IFERROR(_xlfn.LET(_xlpm.pairs,_xlfn._xlws.FILTER($A$2:$D$391,($A$2:$A$391&lt;&gt;"")*(TRIM($D$2:$D$391)&lt;&gt;"")),_xlpm.uniquePairs,_xlfn.UNIQUE(_xlfn.HSTACK(INDEX(_xlpm.pairs,,1),INDEX(_xlpm.pairs,,4))),_xlpm.sortedPairs,_xlfn._xlws.SORT(_xlpm.uniquePairs,1,1),IF(ROW()-1&lt;=ROWS(_xlpm.sortedPairs),INDEX(_xlpm.sortedPairs,ROW()-1,1),"")),"")</f>
        <v/>
      </c>
      <c r="M374" s="15">
        <f t="array" ref="M374">IFERROR(_xlfn.LET(_xlpm.pairs,_xlfn._xlws.FILTER($A$2:$D$391,($A$2:$A$391&lt;&gt;"")*(TRIM($D$2:$D$391)&lt;&gt;"")),_xlpm.uniquePairs,_xlfn.UNIQUE(_xlfn.HSTACK(INDEX(_xlpm.pairs,,1),INDEX(_xlpm.pairs,,4))),_xlpm.sortedPairs,_xlfn._xlws.SORT(_xlpm.uniquePairs,1,1),IF(ROW()-1&lt;=ROWS(_xlpm.sortedPairs),INDEX(_xlpm.sortedPairs,ROW()-1,2),"")),"")</f>
        <v/>
      </c>
      <c r="N374" s="15">
        <f t="array" ref="N374">IF(OR(L374="",M374=""),"",IFERROR(INDEX($E$2:$E$391,MATCH(1,($A$2:$A$391=L374)*($D$2:$D$391=M374),0)),""))</f>
        <v/>
      </c>
      <c r="O374" s="69">
        <f>IF(OR(L374="",M374=""),"",SUMIFS($J$2:$J$391,$A$2:$A$391,L374,$D$2:$D$391,M374))</f>
        <v/>
      </c>
      <c r="P374" s="6" t="n"/>
    </row>
    <row r="375">
      <c r="A375" s="44" t="n"/>
      <c r="B375" s="44" t="inlineStr">
        <is>
          <t xml:space="preserve">Ext. B </t>
        </is>
      </c>
      <c r="C375" s="43" t="n"/>
      <c r="D375" s="43">
        <f>IF(C375="","",IFERROR(_xlfn.XLOOKUP(C375,HELPER!$A$2:$A$76,HELPER!$B$2:$B$76,""),D375))</f>
        <v/>
      </c>
      <c r="E375" s="43">
        <f>IFERROR(_xlfn.XLOOKUP(D375,HELPER!$B:$B,HELPER!$C:$C,""),"")</f>
        <v/>
      </c>
      <c r="F375" s="42">
        <f>IFERROR(_xlfn.XLOOKUP(D375,HELPER!$B:$B,HELPER!$D:$D,""),"")</f>
        <v/>
      </c>
      <c r="G375" s="42" t="n">
        <v>24</v>
      </c>
      <c r="H375" s="556" t="n"/>
      <c r="I375" s="72">
        <f>IF(AND(H375&lt;&gt;"",IFERROR(_xlfn.XLOOKUP(D375,HELPER!$B:$B,HELPER!$E:$E,""),"")=""),"Missing price",IFERROR(_xlfn.XLOOKUP(D375,HELPER!$B:$B,HELPER!$E:$E,"")," "))</f>
        <v/>
      </c>
      <c r="J375" s="72">
        <f>IFERROR(H375*(IF(G375=8,I375*HELPER!$G$2,BOM!I375*HELPER!$G$3))," ")</f>
        <v/>
      </c>
      <c r="K375" s="6" t="n"/>
      <c r="L375" s="14">
        <f t="array" ref="L375">IFERROR(_xlfn.LET(_xlpm.pairs,_xlfn._xlws.FILTER($A$2:$D$391,($A$2:$A$391&lt;&gt;"")*(TRIM($D$2:$D$391)&lt;&gt;"")),_xlpm.uniquePairs,_xlfn.UNIQUE(_xlfn.HSTACK(INDEX(_xlpm.pairs,,1),INDEX(_xlpm.pairs,,4))),_xlpm.sortedPairs,_xlfn._xlws.SORT(_xlpm.uniquePairs,1,1),IF(ROW()-1&lt;=ROWS(_xlpm.sortedPairs),INDEX(_xlpm.sortedPairs,ROW()-1,1),"")),"")</f>
        <v/>
      </c>
      <c r="M375" s="15">
        <f t="array" ref="M375">IFERROR(_xlfn.LET(_xlpm.pairs,_xlfn._xlws.FILTER($A$2:$D$391,($A$2:$A$391&lt;&gt;"")*(TRIM($D$2:$D$391)&lt;&gt;"")),_xlpm.uniquePairs,_xlfn.UNIQUE(_xlfn.HSTACK(INDEX(_xlpm.pairs,,1),INDEX(_xlpm.pairs,,4))),_xlpm.sortedPairs,_xlfn._xlws.SORT(_xlpm.uniquePairs,1,1),IF(ROW()-1&lt;=ROWS(_xlpm.sortedPairs),INDEX(_xlpm.sortedPairs,ROW()-1,2),"")),"")</f>
        <v/>
      </c>
      <c r="N375" s="15">
        <f t="array" ref="N375">IF(OR(L375="",M375=""),"",IFERROR(INDEX($E$2:$E$391,MATCH(1,($A$2:$A$391=L375)*($D$2:$D$391=M375),0)),""))</f>
        <v/>
      </c>
      <c r="O375" s="69">
        <f>IF(OR(L375="",M375=""),"",SUMIFS($J$2:$J$391,$A$2:$A$391,L375,$D$2:$D$391,M375))</f>
        <v/>
      </c>
      <c r="P375" s="6" t="n"/>
    </row>
    <row r="376">
      <c r="A376" s="44" t="n"/>
      <c r="B376" s="44" t="inlineStr">
        <is>
          <t xml:space="preserve">Ext. B </t>
        </is>
      </c>
      <c r="C376" s="43" t="n"/>
      <c r="D376" s="43">
        <f>IF(C376="","",IFERROR(_xlfn.XLOOKUP(C376,HELPER!$A$2:$A$76,HELPER!$B$2:$B$76,""),D376))</f>
        <v/>
      </c>
      <c r="E376" s="43">
        <f>IFERROR(_xlfn.XLOOKUP(D376,HELPER!$B:$B,HELPER!$C:$C,""),"")</f>
        <v/>
      </c>
      <c r="F376" s="42">
        <f>IFERROR(_xlfn.XLOOKUP(D376,HELPER!$B:$B,HELPER!$D:$D,""),"")</f>
        <v/>
      </c>
      <c r="G376" s="42" t="n">
        <v>24</v>
      </c>
      <c r="H376" s="556" t="n"/>
      <c r="I376" s="72">
        <f>IF(AND(H376&lt;&gt;"",IFERROR(_xlfn.XLOOKUP(D376,HELPER!$B:$B,HELPER!$E:$E,""),"")=""),"Missing price",IFERROR(_xlfn.XLOOKUP(D376,HELPER!$B:$B,HELPER!$E:$E,"")," "))</f>
        <v/>
      </c>
      <c r="J376" s="72">
        <f>IFERROR(H376*(IF(G376=8,I376*HELPER!$G$2,BOM!I376*HELPER!$G$3))," ")</f>
        <v/>
      </c>
      <c r="K376" s="6" t="n"/>
      <c r="L376" s="14">
        <f t="array" ref="L376">IFERROR(_xlfn.LET(_xlpm.pairs,_xlfn._xlws.FILTER($A$2:$D$391,($A$2:$A$391&lt;&gt;"")*(TRIM($D$2:$D$391)&lt;&gt;"")),_xlpm.uniquePairs,_xlfn.UNIQUE(_xlfn.HSTACK(INDEX(_xlpm.pairs,,1),INDEX(_xlpm.pairs,,4))),_xlpm.sortedPairs,_xlfn._xlws.SORT(_xlpm.uniquePairs,1,1),IF(ROW()-1&lt;=ROWS(_xlpm.sortedPairs),INDEX(_xlpm.sortedPairs,ROW()-1,1),"")),"")</f>
        <v/>
      </c>
      <c r="M376" s="15">
        <f t="array" ref="M376">IFERROR(_xlfn.LET(_xlpm.pairs,_xlfn._xlws.FILTER($A$2:$D$391,($A$2:$A$391&lt;&gt;"")*(TRIM($D$2:$D$391)&lt;&gt;"")),_xlpm.uniquePairs,_xlfn.UNIQUE(_xlfn.HSTACK(INDEX(_xlpm.pairs,,1),INDEX(_xlpm.pairs,,4))),_xlpm.sortedPairs,_xlfn._xlws.SORT(_xlpm.uniquePairs,1,1),IF(ROW()-1&lt;=ROWS(_xlpm.sortedPairs),INDEX(_xlpm.sortedPairs,ROW()-1,2),"")),"")</f>
        <v/>
      </c>
      <c r="N376" s="15">
        <f t="array" ref="N376">IF(OR(L376="",M376=""),"",IFERROR(INDEX($E$2:$E$391,MATCH(1,($A$2:$A$391=L376)*($D$2:$D$391=M376),0)),""))</f>
        <v/>
      </c>
      <c r="O376" s="69">
        <f>IF(OR(L376="",M376=""),"",SUMIFS($J$2:$J$391,$A$2:$A$391,L376,$D$2:$D$391,M376))</f>
        <v/>
      </c>
      <c r="P376" s="6" t="n"/>
    </row>
    <row r="377">
      <c r="A377" s="44" t="n"/>
      <c r="B377" s="44" t="inlineStr">
        <is>
          <t xml:space="preserve">Ext. B </t>
        </is>
      </c>
      <c r="C377" s="43" t="n"/>
      <c r="D377" s="43">
        <f>IF(C377="","",IFERROR(_xlfn.XLOOKUP(C377,HELPER!$A$2:$A$76,HELPER!$B$2:$B$76,""),D377))</f>
        <v/>
      </c>
      <c r="E377" s="43">
        <f>IFERROR(_xlfn.XLOOKUP(D377,HELPER!$B:$B,HELPER!$C:$C,""),"")</f>
        <v/>
      </c>
      <c r="F377" s="42">
        <f>IFERROR(_xlfn.XLOOKUP(D377,HELPER!$B:$B,HELPER!$D:$D,""),"")</f>
        <v/>
      </c>
      <c r="G377" s="42" t="n">
        <v>24</v>
      </c>
      <c r="H377" s="556" t="n"/>
      <c r="I377" s="72">
        <f>IF(AND(H377&lt;&gt;"",IFERROR(_xlfn.XLOOKUP(D377,HELPER!$B:$B,HELPER!$E:$E,""),"")=""),"Missing price",IFERROR(_xlfn.XLOOKUP(D377,HELPER!$B:$B,HELPER!$E:$E,"")," "))</f>
        <v/>
      </c>
      <c r="J377" s="72">
        <f>IFERROR(H377*(IF(G377=8,I377*HELPER!$G$2,BOM!I377*HELPER!$G$3))," ")</f>
        <v/>
      </c>
      <c r="K377" s="6" t="n"/>
      <c r="L377" s="14">
        <f t="array" ref="L377">IFERROR(_xlfn.LET(_xlpm.pairs,_xlfn._xlws.FILTER($A$2:$D$391,($A$2:$A$391&lt;&gt;"")*(TRIM($D$2:$D$391)&lt;&gt;"")),_xlpm.uniquePairs,_xlfn.UNIQUE(_xlfn.HSTACK(INDEX(_xlpm.pairs,,1),INDEX(_xlpm.pairs,,4))),_xlpm.sortedPairs,_xlfn._xlws.SORT(_xlpm.uniquePairs,1,1),IF(ROW()-1&lt;=ROWS(_xlpm.sortedPairs),INDEX(_xlpm.sortedPairs,ROW()-1,1),"")),"")</f>
        <v/>
      </c>
      <c r="M377" s="15">
        <f t="array" ref="M377">IFERROR(_xlfn.LET(_xlpm.pairs,_xlfn._xlws.FILTER($A$2:$D$391,($A$2:$A$391&lt;&gt;"")*(TRIM($D$2:$D$391)&lt;&gt;"")),_xlpm.uniquePairs,_xlfn.UNIQUE(_xlfn.HSTACK(INDEX(_xlpm.pairs,,1),INDEX(_xlpm.pairs,,4))),_xlpm.sortedPairs,_xlfn._xlws.SORT(_xlpm.uniquePairs,1,1),IF(ROW()-1&lt;=ROWS(_xlpm.sortedPairs),INDEX(_xlpm.sortedPairs,ROW()-1,2),"")),"")</f>
        <v/>
      </c>
      <c r="N377" s="15">
        <f t="array" ref="N377">IF(OR(L377="",M377=""),"",IFERROR(INDEX($E$2:$E$391,MATCH(1,($A$2:$A$391=L377)*($D$2:$D$391=M377),0)),""))</f>
        <v/>
      </c>
      <c r="O377" s="69">
        <f>IF(OR(L377="",M377=""),"",SUMIFS($J$2:$J$391,$A$2:$A$391,L377,$D$2:$D$391,M377))</f>
        <v/>
      </c>
      <c r="P377" s="6" t="n"/>
    </row>
    <row r="378">
      <c r="A378" s="44" t="n"/>
      <c r="B378" s="44" t="inlineStr">
        <is>
          <t xml:space="preserve">Ext. B </t>
        </is>
      </c>
      <c r="C378" s="43" t="n"/>
      <c r="D378" s="43">
        <f>IF(C378="","",IFERROR(_xlfn.XLOOKUP(C378,HELPER!$A$2:$A$76,HELPER!$B$2:$B$76,""),D378))</f>
        <v/>
      </c>
      <c r="E378" s="43">
        <f>IFERROR(_xlfn.XLOOKUP(D378,HELPER!$B:$B,HELPER!$C:$C,""),"")</f>
        <v/>
      </c>
      <c r="F378" s="42">
        <f>IFERROR(_xlfn.XLOOKUP(D378,HELPER!$B:$B,HELPER!$D:$D,""),"")</f>
        <v/>
      </c>
      <c r="G378" s="42" t="n">
        <v>24</v>
      </c>
      <c r="H378" s="556" t="n"/>
      <c r="I378" s="72">
        <f>IF(AND(H378&lt;&gt;"",IFERROR(_xlfn.XLOOKUP(D378,HELPER!$B:$B,HELPER!$E:$E,""),"")=""),"Missing price",IFERROR(_xlfn.XLOOKUP(D378,HELPER!$B:$B,HELPER!$E:$E,"")," "))</f>
        <v/>
      </c>
      <c r="J378" s="72">
        <f>IFERROR(H378*(IF(G378=8,I378*HELPER!$G$2,BOM!I378*HELPER!$G$3))," ")</f>
        <v/>
      </c>
      <c r="K378" s="6" t="n"/>
      <c r="L378" s="14">
        <f t="array" ref="L378">IFERROR(_xlfn.LET(_xlpm.pairs,_xlfn._xlws.FILTER($A$2:$D$391,($A$2:$A$391&lt;&gt;"")*(TRIM($D$2:$D$391)&lt;&gt;"")),_xlpm.uniquePairs,_xlfn.UNIQUE(_xlfn.HSTACK(INDEX(_xlpm.pairs,,1),INDEX(_xlpm.pairs,,4))),_xlpm.sortedPairs,_xlfn._xlws.SORT(_xlpm.uniquePairs,1,1),IF(ROW()-1&lt;=ROWS(_xlpm.sortedPairs),INDEX(_xlpm.sortedPairs,ROW()-1,1),"")),"")</f>
        <v/>
      </c>
      <c r="M378" s="15">
        <f t="array" ref="M378">IFERROR(_xlfn.LET(_xlpm.pairs,_xlfn._xlws.FILTER($A$2:$D$391,($A$2:$A$391&lt;&gt;"")*(TRIM($D$2:$D$391)&lt;&gt;"")),_xlpm.uniquePairs,_xlfn.UNIQUE(_xlfn.HSTACK(INDEX(_xlpm.pairs,,1),INDEX(_xlpm.pairs,,4))),_xlpm.sortedPairs,_xlfn._xlws.SORT(_xlpm.uniquePairs,1,1),IF(ROW()-1&lt;=ROWS(_xlpm.sortedPairs),INDEX(_xlpm.sortedPairs,ROW()-1,2),"")),"")</f>
        <v/>
      </c>
      <c r="N378" s="15">
        <f t="array" ref="N378">IF(OR(L378="",M378=""),"",IFERROR(INDEX($E$2:$E$391,MATCH(1,($A$2:$A$391=L378)*($D$2:$D$391=M378),0)),""))</f>
        <v/>
      </c>
      <c r="O378" s="69">
        <f>IF(OR(L378="",M378=""),"",SUMIFS($J$2:$J$391,$A$2:$A$391,L378,$D$2:$D$391,M378))</f>
        <v/>
      </c>
      <c r="P378" s="6" t="n"/>
    </row>
    <row r="379">
      <c r="A379" s="44" t="n"/>
      <c r="B379" s="44" t="inlineStr">
        <is>
          <t xml:space="preserve">Ext. B </t>
        </is>
      </c>
      <c r="C379" s="43" t="n"/>
      <c r="D379" s="43">
        <f>IF(C379="","",IFERROR(_xlfn.XLOOKUP(C379,HELPER!$A$2:$A$76,HELPER!$B$2:$B$76,""),D379))</f>
        <v/>
      </c>
      <c r="E379" s="43">
        <f>IFERROR(_xlfn.XLOOKUP(D379,HELPER!$B:$B,HELPER!$C:$C,""),"")</f>
        <v/>
      </c>
      <c r="F379" s="42">
        <f>IFERROR(_xlfn.XLOOKUP(D379,HELPER!$B:$B,HELPER!$D:$D,""),"")</f>
        <v/>
      </c>
      <c r="G379" s="42" t="n">
        <v>24</v>
      </c>
      <c r="H379" s="556" t="n"/>
      <c r="I379" s="72">
        <f>IF(AND(H379&lt;&gt;"",IFERROR(_xlfn.XLOOKUP(D379,HELPER!$B:$B,HELPER!$E:$E,""),"")=""),"Missing price",IFERROR(_xlfn.XLOOKUP(D379,HELPER!$B:$B,HELPER!$E:$E,"")," "))</f>
        <v/>
      </c>
      <c r="J379" s="72">
        <f>IFERROR(H379*(IF(G379=8,I379*HELPER!$G$2,BOM!I379*HELPER!$G$3))," ")</f>
        <v/>
      </c>
      <c r="K379" s="6" t="n"/>
      <c r="L379" s="14">
        <f t="array" ref="L379">IFERROR(_xlfn.LET(_xlpm.pairs,_xlfn._xlws.FILTER($A$2:$D$391,($A$2:$A$391&lt;&gt;"")*(TRIM($D$2:$D$391)&lt;&gt;"")),_xlpm.uniquePairs,_xlfn.UNIQUE(_xlfn.HSTACK(INDEX(_xlpm.pairs,,1),INDEX(_xlpm.pairs,,4))),_xlpm.sortedPairs,_xlfn._xlws.SORT(_xlpm.uniquePairs,1,1),IF(ROW()-1&lt;=ROWS(_xlpm.sortedPairs),INDEX(_xlpm.sortedPairs,ROW()-1,1),"")),"")</f>
        <v/>
      </c>
      <c r="M379" s="15">
        <f t="array" ref="M379">IFERROR(_xlfn.LET(_xlpm.pairs,_xlfn._xlws.FILTER($A$2:$D$391,($A$2:$A$391&lt;&gt;"")*(TRIM($D$2:$D$391)&lt;&gt;"")),_xlpm.uniquePairs,_xlfn.UNIQUE(_xlfn.HSTACK(INDEX(_xlpm.pairs,,1),INDEX(_xlpm.pairs,,4))),_xlpm.sortedPairs,_xlfn._xlws.SORT(_xlpm.uniquePairs,1,1),IF(ROW()-1&lt;=ROWS(_xlpm.sortedPairs),INDEX(_xlpm.sortedPairs,ROW()-1,2),"")),"")</f>
        <v/>
      </c>
      <c r="N379" s="15">
        <f t="array" ref="N379">IF(OR(L379="",M379=""),"",IFERROR(INDEX($E$2:$E$391,MATCH(1,($A$2:$A$391=L379)*($D$2:$D$391=M379),0)),""))</f>
        <v/>
      </c>
      <c r="O379" s="69">
        <f>IF(OR(L379="",M379=""),"",SUMIFS($J$2:$J$391,$A$2:$A$391,L379,$D$2:$D$391,M379))</f>
        <v/>
      </c>
      <c r="P379" s="6" t="n"/>
    </row>
    <row r="380">
      <c r="A380" s="44" t="n"/>
      <c r="B380" s="44" t="inlineStr">
        <is>
          <t xml:space="preserve">Ext. B </t>
        </is>
      </c>
      <c r="C380" s="43" t="n"/>
      <c r="D380" s="43">
        <f>IF(C380="","",IFERROR(_xlfn.XLOOKUP(C380,HELPER!$A$2:$A$76,HELPER!$B$2:$B$76,""),D380))</f>
        <v/>
      </c>
      <c r="E380" s="43">
        <f>IFERROR(_xlfn.XLOOKUP(D380,HELPER!$B:$B,HELPER!$C:$C,""),"")</f>
        <v/>
      </c>
      <c r="F380" s="42">
        <f>IFERROR(_xlfn.XLOOKUP(D380,HELPER!$B:$B,HELPER!$D:$D,""),"")</f>
        <v/>
      </c>
      <c r="G380" s="42" t="n">
        <v>24</v>
      </c>
      <c r="H380" s="556" t="n"/>
      <c r="I380" s="72">
        <f>IF(AND(H380&lt;&gt;"",IFERROR(_xlfn.XLOOKUP(D380,HELPER!$B:$B,HELPER!$E:$E,""),"")=""),"Missing price",IFERROR(_xlfn.XLOOKUP(D380,HELPER!$B:$B,HELPER!$E:$E,"")," "))</f>
        <v/>
      </c>
      <c r="J380" s="72">
        <f>IFERROR(H380*(IF(G380=8,I380*HELPER!$G$2,BOM!I380*HELPER!$G$3))," ")</f>
        <v/>
      </c>
      <c r="K380" s="6" t="n"/>
      <c r="L380" s="14">
        <f t="array" ref="L380">IFERROR(_xlfn.LET(_xlpm.pairs,_xlfn._xlws.FILTER($A$2:$D$391,($A$2:$A$391&lt;&gt;"")*(TRIM($D$2:$D$391)&lt;&gt;"")),_xlpm.uniquePairs,_xlfn.UNIQUE(_xlfn.HSTACK(INDEX(_xlpm.pairs,,1),INDEX(_xlpm.pairs,,4))),_xlpm.sortedPairs,_xlfn._xlws.SORT(_xlpm.uniquePairs,1,1),IF(ROW()-1&lt;=ROWS(_xlpm.sortedPairs),INDEX(_xlpm.sortedPairs,ROW()-1,1),"")),"")</f>
        <v/>
      </c>
      <c r="M380" s="15">
        <f t="array" ref="M380">IFERROR(_xlfn.LET(_xlpm.pairs,_xlfn._xlws.FILTER($A$2:$D$391,($A$2:$A$391&lt;&gt;"")*(TRIM($D$2:$D$391)&lt;&gt;"")),_xlpm.uniquePairs,_xlfn.UNIQUE(_xlfn.HSTACK(INDEX(_xlpm.pairs,,1),INDEX(_xlpm.pairs,,4))),_xlpm.sortedPairs,_xlfn._xlws.SORT(_xlpm.uniquePairs,1,1),IF(ROW()-1&lt;=ROWS(_xlpm.sortedPairs),INDEX(_xlpm.sortedPairs,ROW()-1,2),"")),"")</f>
        <v/>
      </c>
      <c r="N380" s="15">
        <f t="array" ref="N380">IF(OR(L380="",M380=""),"",IFERROR(INDEX($E$2:$E$391,MATCH(1,($A$2:$A$391=L380)*($D$2:$D$391=M380),0)),""))</f>
        <v/>
      </c>
      <c r="O380" s="69">
        <f>IF(OR(L380="",M380=""),"",SUMIFS($J$2:$J$391,$A$2:$A$391,L380,$D$2:$D$391,M380))</f>
        <v/>
      </c>
      <c r="P380" s="6" t="n"/>
    </row>
    <row r="381">
      <c r="A381" s="44" t="n"/>
      <c r="B381" s="44" t="inlineStr">
        <is>
          <t xml:space="preserve">Ext. B </t>
        </is>
      </c>
      <c r="C381" s="43" t="n"/>
      <c r="D381" s="43">
        <f>IF(C381="","",IFERROR(_xlfn.XLOOKUP(C381,HELPER!$A$2:$A$76,HELPER!$B$2:$B$76,""),D381))</f>
        <v/>
      </c>
      <c r="E381" s="43">
        <f>IFERROR(_xlfn.XLOOKUP(D381,HELPER!$B:$B,HELPER!$C:$C,""),"")</f>
        <v/>
      </c>
      <c r="F381" s="42">
        <f>IFERROR(_xlfn.XLOOKUP(D381,HELPER!$B:$B,HELPER!$D:$D,""),"")</f>
        <v/>
      </c>
      <c r="G381" s="42" t="n">
        <v>24</v>
      </c>
      <c r="H381" s="556" t="n"/>
      <c r="I381" s="72">
        <f>IF(AND(H381&lt;&gt;"",IFERROR(_xlfn.XLOOKUP(D381,HELPER!$B:$B,HELPER!$E:$E,""),"")=""),"Missing price",IFERROR(_xlfn.XLOOKUP(D381,HELPER!$B:$B,HELPER!$E:$E,"")," "))</f>
        <v/>
      </c>
      <c r="J381" s="72">
        <f>IFERROR(H381*(IF(G381=8,I381*HELPER!$G$2,BOM!I381*HELPER!$G$3))," ")</f>
        <v/>
      </c>
      <c r="K381" s="6" t="n"/>
      <c r="L381" s="14">
        <f t="array" ref="L381">IFERROR(_xlfn.LET(_xlpm.pairs,_xlfn._xlws.FILTER($A$2:$D$391,($A$2:$A$391&lt;&gt;"")*(TRIM($D$2:$D$391)&lt;&gt;"")),_xlpm.uniquePairs,_xlfn.UNIQUE(_xlfn.HSTACK(INDEX(_xlpm.pairs,,1),INDEX(_xlpm.pairs,,4))),_xlpm.sortedPairs,_xlfn._xlws.SORT(_xlpm.uniquePairs,1,1),IF(ROW()-1&lt;=ROWS(_xlpm.sortedPairs),INDEX(_xlpm.sortedPairs,ROW()-1,1),"")),"")</f>
        <v/>
      </c>
      <c r="M381" s="15">
        <f t="array" ref="M381">IFERROR(_xlfn.LET(_xlpm.pairs,_xlfn._xlws.FILTER($A$2:$D$391,($A$2:$A$391&lt;&gt;"")*(TRIM($D$2:$D$391)&lt;&gt;"")),_xlpm.uniquePairs,_xlfn.UNIQUE(_xlfn.HSTACK(INDEX(_xlpm.pairs,,1),INDEX(_xlpm.pairs,,4))),_xlpm.sortedPairs,_xlfn._xlws.SORT(_xlpm.uniquePairs,1,1),IF(ROW()-1&lt;=ROWS(_xlpm.sortedPairs),INDEX(_xlpm.sortedPairs,ROW()-1,2),"")),"")</f>
        <v/>
      </c>
      <c r="N381" s="15">
        <f t="array" ref="N381">IF(OR(L381="",M381=""),"",IFERROR(INDEX($E$2:$E$391,MATCH(1,($A$2:$A$391=L381)*($D$2:$D$391=M381),0)),""))</f>
        <v/>
      </c>
      <c r="O381" s="69">
        <f>IF(OR(L381="",M381=""),"",SUMIFS($J$2:$J$391,$A$2:$A$391,L381,$D$2:$D$391,M381))</f>
        <v/>
      </c>
      <c r="P381" s="6" t="n"/>
    </row>
    <row r="382">
      <c r="A382" s="44" t="n"/>
      <c r="B382" s="44" t="inlineStr">
        <is>
          <t>Ext. C (In)</t>
        </is>
      </c>
      <c r="C382" s="43" t="n"/>
      <c r="D382" s="43">
        <f>IF(C382="","",IFERROR(_xlfn.XLOOKUP(C382,HELPER!$A$2:$A$76,HELPER!$B$2:$B$76,""),D382))</f>
        <v/>
      </c>
      <c r="E382" s="43">
        <f>IFERROR(_xlfn.XLOOKUP(D382,HELPER!$B:$B,HELPER!$C:$C,""),"")</f>
        <v/>
      </c>
      <c r="F382" s="42">
        <f>IFERROR(_xlfn.XLOOKUP(D382,HELPER!$B:$B,HELPER!$D:$D,""),"")</f>
        <v/>
      </c>
      <c r="G382" s="42" t="n">
        <v>8</v>
      </c>
      <c r="H382" s="556" t="n"/>
      <c r="I382" s="72">
        <f>IF(AND(H382&lt;&gt;"",IFERROR(_xlfn.XLOOKUP(D382,HELPER!$B:$B,HELPER!$E:$E,""),"")=""),"Missing price",IFERROR(_xlfn.XLOOKUP(D382,HELPER!$B:$B,HELPER!$E:$E,"")," "))</f>
        <v/>
      </c>
      <c r="J382" s="72">
        <f>IFERROR(H382*(IF(G382=8,I382*HELPER!$G$2,BOM!I382*HELPER!$G$3))," ")</f>
        <v/>
      </c>
      <c r="K382" s="6" t="n"/>
      <c r="L382" s="14">
        <f t="array" ref="L382">IFERROR(_xlfn.LET(_xlpm.pairs,_xlfn._xlws.FILTER($A$2:$D$391,($A$2:$A$391&lt;&gt;"")*(TRIM($D$2:$D$391)&lt;&gt;"")),_xlpm.uniquePairs,_xlfn.UNIQUE(_xlfn.HSTACK(INDEX(_xlpm.pairs,,1),INDEX(_xlpm.pairs,,4))),_xlpm.sortedPairs,_xlfn._xlws.SORT(_xlpm.uniquePairs,1,1),IF(ROW()-1&lt;=ROWS(_xlpm.sortedPairs),INDEX(_xlpm.sortedPairs,ROW()-1,1),"")),"")</f>
        <v/>
      </c>
      <c r="M382" s="15">
        <f t="array" ref="M382">IFERROR(_xlfn.LET(_xlpm.pairs,_xlfn._xlws.FILTER($A$2:$D$391,($A$2:$A$391&lt;&gt;"")*(TRIM($D$2:$D$391)&lt;&gt;"")),_xlpm.uniquePairs,_xlfn.UNIQUE(_xlfn.HSTACK(INDEX(_xlpm.pairs,,1),INDEX(_xlpm.pairs,,4))),_xlpm.sortedPairs,_xlfn._xlws.SORT(_xlpm.uniquePairs,1,1),IF(ROW()-1&lt;=ROWS(_xlpm.sortedPairs),INDEX(_xlpm.sortedPairs,ROW()-1,2),"")),"")</f>
        <v/>
      </c>
      <c r="N382" s="15">
        <f t="array" ref="N382">IF(OR(L382="",M382=""),"",IFERROR(INDEX($E$2:$E$391,MATCH(1,($A$2:$A$391=L382)*($D$2:$D$391=M382),0)),""))</f>
        <v/>
      </c>
      <c r="O382" s="69">
        <f>IF(OR(L382="",M382=""),"",SUMIFS($J$2:$J$391,$A$2:$A$391,L382,$D$2:$D$391,M382))</f>
        <v/>
      </c>
      <c r="P382" s="6" t="n"/>
    </row>
    <row r="383">
      <c r="A383" s="44" t="n"/>
      <c r="B383" s="44" t="inlineStr">
        <is>
          <t>Ext. C (In)</t>
        </is>
      </c>
      <c r="C383" s="43" t="n"/>
      <c r="D383" s="43">
        <f>IF(C383="","",IFERROR(_xlfn.XLOOKUP(C383,HELPER!$A$2:$A$76,HELPER!$B$2:$B$76,""),D383))</f>
        <v/>
      </c>
      <c r="E383" s="43">
        <f>IFERROR(_xlfn.XLOOKUP(D383,HELPER!$B:$B,HELPER!$C:$C,""),"")</f>
        <v/>
      </c>
      <c r="F383" s="42">
        <f>IFERROR(_xlfn.XLOOKUP(D383,HELPER!$B:$B,HELPER!$D:$D,""),"")</f>
        <v/>
      </c>
      <c r="G383" s="42" t="n">
        <v>8</v>
      </c>
      <c r="H383" s="556" t="n"/>
      <c r="I383" s="72">
        <f>IF(AND(H383&lt;&gt;"",IFERROR(_xlfn.XLOOKUP(D383,HELPER!$B:$B,HELPER!$E:$E,""),"")=""),"Missing price",IFERROR(_xlfn.XLOOKUP(D383,HELPER!$B:$B,HELPER!$E:$E,"")," "))</f>
        <v/>
      </c>
      <c r="J383" s="72">
        <f>IFERROR(H383*(IF(G383=8,I383*HELPER!$G$2,BOM!I383*HELPER!$G$3))," ")</f>
        <v/>
      </c>
      <c r="K383" s="6" t="n"/>
      <c r="L383" s="14">
        <f t="array" ref="L383">IFERROR(_xlfn.LET(_xlpm.pairs,_xlfn._xlws.FILTER($A$2:$D$391,($A$2:$A$391&lt;&gt;"")*(TRIM($D$2:$D$391)&lt;&gt;"")),_xlpm.uniquePairs,_xlfn.UNIQUE(_xlfn.HSTACK(INDEX(_xlpm.pairs,,1),INDEX(_xlpm.pairs,,4))),_xlpm.sortedPairs,_xlfn._xlws.SORT(_xlpm.uniquePairs,1,1),IF(ROW()-1&lt;=ROWS(_xlpm.sortedPairs),INDEX(_xlpm.sortedPairs,ROW()-1,1),"")),"")</f>
        <v/>
      </c>
      <c r="M383" s="15">
        <f t="array" ref="M383">IFERROR(_xlfn.LET(_xlpm.pairs,_xlfn._xlws.FILTER($A$2:$D$391,($A$2:$A$391&lt;&gt;"")*(TRIM($D$2:$D$391)&lt;&gt;"")),_xlpm.uniquePairs,_xlfn.UNIQUE(_xlfn.HSTACK(INDEX(_xlpm.pairs,,1),INDEX(_xlpm.pairs,,4))),_xlpm.sortedPairs,_xlfn._xlws.SORT(_xlpm.uniquePairs,1,1),IF(ROW()-1&lt;=ROWS(_xlpm.sortedPairs),INDEX(_xlpm.sortedPairs,ROW()-1,2),"")),"")</f>
        <v/>
      </c>
      <c r="N383" s="15">
        <f t="array" ref="N383">IF(OR(L383="",M383=""),"",IFERROR(INDEX($E$2:$E$391,MATCH(1,($A$2:$A$391=L383)*($D$2:$D$391=M383),0)),""))</f>
        <v/>
      </c>
      <c r="O383" s="69">
        <f>IF(OR(L383="",M383=""),"",SUMIFS($J$2:$J$391,$A$2:$A$391,L383,$D$2:$D$391,M383))</f>
        <v/>
      </c>
      <c r="P383" s="6" t="n"/>
    </row>
    <row r="384">
      <c r="A384" s="44" t="n"/>
      <c r="B384" s="44" t="inlineStr">
        <is>
          <t>Ext. C (In)</t>
        </is>
      </c>
      <c r="C384" s="43" t="n"/>
      <c r="D384" s="43">
        <f>IF(C384="","",IFERROR(_xlfn.XLOOKUP(C384,HELPER!$A$2:$A$76,HELPER!$B$2:$B$76,""),D384))</f>
        <v/>
      </c>
      <c r="E384" s="43">
        <f>IFERROR(_xlfn.XLOOKUP(D384,HELPER!$B:$B,HELPER!$C:$C,""),"")</f>
        <v/>
      </c>
      <c r="F384" s="42">
        <f>IFERROR(_xlfn.XLOOKUP(D384,HELPER!$B:$B,HELPER!$D:$D,""),"")</f>
        <v/>
      </c>
      <c r="G384" s="42" t="n">
        <v>8</v>
      </c>
      <c r="H384" s="556" t="n"/>
      <c r="I384" s="72">
        <f>IF(AND(H384&lt;&gt;"",IFERROR(_xlfn.XLOOKUP(D384,HELPER!$B:$B,HELPER!$E:$E,""),"")=""),"Missing price",IFERROR(_xlfn.XLOOKUP(D384,HELPER!$B:$B,HELPER!$E:$E,"")," "))</f>
        <v/>
      </c>
      <c r="J384" s="72">
        <f>IFERROR(H384*(IF(G384=8,I384*HELPER!$G$2,BOM!I384*HELPER!$G$3))," ")</f>
        <v/>
      </c>
      <c r="K384" s="6" t="n"/>
      <c r="L384" s="14">
        <f t="array" ref="L384">IFERROR(_xlfn.LET(_xlpm.pairs,_xlfn._xlws.FILTER($A$2:$D$391,($A$2:$A$391&lt;&gt;"")*(TRIM($D$2:$D$391)&lt;&gt;"")),_xlpm.uniquePairs,_xlfn.UNIQUE(_xlfn.HSTACK(INDEX(_xlpm.pairs,,1),INDEX(_xlpm.pairs,,4))),_xlpm.sortedPairs,_xlfn._xlws.SORT(_xlpm.uniquePairs,1,1),IF(ROW()-1&lt;=ROWS(_xlpm.sortedPairs),INDEX(_xlpm.sortedPairs,ROW()-1,1),"")),"")</f>
        <v/>
      </c>
      <c r="M384" s="15">
        <f t="array" ref="M384">IFERROR(_xlfn.LET(_xlpm.pairs,_xlfn._xlws.FILTER($A$2:$D$391,($A$2:$A$391&lt;&gt;"")*(TRIM($D$2:$D$391)&lt;&gt;"")),_xlpm.uniquePairs,_xlfn.UNIQUE(_xlfn.HSTACK(INDEX(_xlpm.pairs,,1),INDEX(_xlpm.pairs,,4))),_xlpm.sortedPairs,_xlfn._xlws.SORT(_xlpm.uniquePairs,1,1),IF(ROW()-1&lt;=ROWS(_xlpm.sortedPairs),INDEX(_xlpm.sortedPairs,ROW()-1,2),"")),"")</f>
        <v/>
      </c>
      <c r="N384" s="15">
        <f t="array" ref="N384">IF(OR(L384="",M384=""),"",IFERROR(INDEX($E$2:$E$391,MATCH(1,($A$2:$A$391=L384)*($D$2:$D$391=M384),0)),""))</f>
        <v/>
      </c>
      <c r="O384" s="69">
        <f>IF(OR(L384="",M384=""),"",SUMIFS($J$2:$J$391,$A$2:$A$391,L384,$D$2:$D$391,M384))</f>
        <v/>
      </c>
      <c r="P384" s="6" t="n"/>
    </row>
    <row r="385">
      <c r="A385" s="44" t="n"/>
      <c r="B385" s="44" t="inlineStr">
        <is>
          <t>Ext. C (In)</t>
        </is>
      </c>
      <c r="C385" s="43" t="n"/>
      <c r="D385" s="43">
        <f>IF(C385="","",IFERROR(_xlfn.XLOOKUP(C385,HELPER!$A$2:$A$76,HELPER!$B$2:$B$76,""),D385))</f>
        <v/>
      </c>
      <c r="E385" s="43">
        <f>IFERROR(_xlfn.XLOOKUP(D385,HELPER!$B:$B,HELPER!$C:$C,""),"")</f>
        <v/>
      </c>
      <c r="F385" s="42">
        <f>IFERROR(_xlfn.XLOOKUP(D385,HELPER!$B:$B,HELPER!$D:$D,""),"")</f>
        <v/>
      </c>
      <c r="G385" s="42" t="n">
        <v>8</v>
      </c>
      <c r="H385" s="556" t="n"/>
      <c r="I385" s="72">
        <f>IF(AND(H385&lt;&gt;"",IFERROR(_xlfn.XLOOKUP(D385,HELPER!$B:$B,HELPER!$E:$E,""),"")=""),"Missing price",IFERROR(_xlfn.XLOOKUP(D385,HELPER!$B:$B,HELPER!$E:$E,"")," "))</f>
        <v/>
      </c>
      <c r="J385" s="72">
        <f>IFERROR(H385*(IF(G385=8,I385*HELPER!$G$2,BOM!I385*HELPER!$G$3))," ")</f>
        <v/>
      </c>
      <c r="K385" s="6" t="n"/>
      <c r="L385" s="14">
        <f t="array" ref="L385">IFERROR(_xlfn.LET(_xlpm.pairs,_xlfn._xlws.FILTER($A$2:$D$391,($A$2:$A$391&lt;&gt;"")*(TRIM($D$2:$D$391)&lt;&gt;"")),_xlpm.uniquePairs,_xlfn.UNIQUE(_xlfn.HSTACK(INDEX(_xlpm.pairs,,1),INDEX(_xlpm.pairs,,4))),_xlpm.sortedPairs,_xlfn._xlws.SORT(_xlpm.uniquePairs,1,1),IF(ROW()-1&lt;=ROWS(_xlpm.sortedPairs),INDEX(_xlpm.sortedPairs,ROW()-1,1),"")),"")</f>
        <v/>
      </c>
      <c r="M385" s="15">
        <f t="array" ref="M385">IFERROR(_xlfn.LET(_xlpm.pairs,_xlfn._xlws.FILTER($A$2:$D$391,($A$2:$A$391&lt;&gt;"")*(TRIM($D$2:$D$391)&lt;&gt;"")),_xlpm.uniquePairs,_xlfn.UNIQUE(_xlfn.HSTACK(INDEX(_xlpm.pairs,,1),INDEX(_xlpm.pairs,,4))),_xlpm.sortedPairs,_xlfn._xlws.SORT(_xlpm.uniquePairs,1,1),IF(ROW()-1&lt;=ROWS(_xlpm.sortedPairs),INDEX(_xlpm.sortedPairs,ROW()-1,2),"")),"")</f>
        <v/>
      </c>
      <c r="N385" s="15">
        <f t="array" ref="N385">IF(OR(L385="",M385=""),"",IFERROR(INDEX($E$2:$E$391,MATCH(1,($A$2:$A$391=L385)*($D$2:$D$391=M385),0)),""))</f>
        <v/>
      </c>
      <c r="O385" s="69">
        <f>IF(OR(L385="",M385=""),"",SUMIFS($J$2:$J$391,$A$2:$A$391,L385,$D$2:$D$391,M385))</f>
        <v/>
      </c>
      <c r="P385" s="6" t="n"/>
    </row>
    <row r="386">
      <c r="A386" s="44" t="n"/>
      <c r="B386" s="44" t="inlineStr">
        <is>
          <t>Ext. C (In)</t>
        </is>
      </c>
      <c r="C386" s="43" t="n"/>
      <c r="D386" s="43">
        <f>IF(C386="","",IFERROR(_xlfn.XLOOKUP(C386,HELPER!$A$2:$A$76,HELPER!$B$2:$B$76,""),D386))</f>
        <v/>
      </c>
      <c r="E386" s="43">
        <f>IFERROR(_xlfn.XLOOKUP(D386,HELPER!$B:$B,HELPER!$C:$C,""),"")</f>
        <v/>
      </c>
      <c r="F386" s="42">
        <f>IFERROR(_xlfn.XLOOKUP(D386,HELPER!$B:$B,HELPER!$D:$D,""),"")</f>
        <v/>
      </c>
      <c r="G386" s="42" t="n">
        <v>8</v>
      </c>
      <c r="H386" s="556" t="n"/>
      <c r="I386" s="72">
        <f>IF(AND(H386&lt;&gt;"",IFERROR(_xlfn.XLOOKUP(D386,HELPER!$B:$B,HELPER!$E:$E,""),"")=""),"Missing price",IFERROR(_xlfn.XLOOKUP(D386,HELPER!$B:$B,HELPER!$E:$E,"")," "))</f>
        <v/>
      </c>
      <c r="J386" s="72">
        <f>IFERROR(H386*(IF(G386=8,I386*HELPER!$G$2,BOM!I386*HELPER!$G$3))," ")</f>
        <v/>
      </c>
      <c r="K386" s="6" t="n"/>
      <c r="L386" s="14">
        <f t="array" ref="L386">IFERROR(_xlfn.LET(_xlpm.pairs,_xlfn._xlws.FILTER($A$2:$D$391,($A$2:$A$391&lt;&gt;"")*(TRIM($D$2:$D$391)&lt;&gt;"")),_xlpm.uniquePairs,_xlfn.UNIQUE(_xlfn.HSTACK(INDEX(_xlpm.pairs,,1),INDEX(_xlpm.pairs,,4))),_xlpm.sortedPairs,_xlfn._xlws.SORT(_xlpm.uniquePairs,1,1),IF(ROW()-1&lt;=ROWS(_xlpm.sortedPairs),INDEX(_xlpm.sortedPairs,ROW()-1,1),"")),"")</f>
        <v/>
      </c>
      <c r="M386" s="15">
        <f t="array" ref="M386">IFERROR(_xlfn.LET(_xlpm.pairs,_xlfn._xlws.FILTER($A$2:$D$391,($A$2:$A$391&lt;&gt;"")*(TRIM($D$2:$D$391)&lt;&gt;"")),_xlpm.uniquePairs,_xlfn.UNIQUE(_xlfn.HSTACK(INDEX(_xlpm.pairs,,1),INDEX(_xlpm.pairs,,4))),_xlpm.sortedPairs,_xlfn._xlws.SORT(_xlpm.uniquePairs,1,1),IF(ROW()-1&lt;=ROWS(_xlpm.sortedPairs),INDEX(_xlpm.sortedPairs,ROW()-1,2),"")),"")</f>
        <v/>
      </c>
      <c r="N386" s="15">
        <f t="array" ref="N386">IF(OR(L386="",M386=""),"",IFERROR(INDEX($E$2:$E$391,MATCH(1,($A$2:$A$391=L386)*($D$2:$D$391=M386),0)),""))</f>
        <v/>
      </c>
      <c r="O386" s="69">
        <f>IF(OR(L386="",M386=""),"",SUMIFS($J$2:$J$391,$A$2:$A$391,L386,$D$2:$D$391,M386))</f>
        <v/>
      </c>
      <c r="P386" s="6" t="n"/>
    </row>
    <row r="387">
      <c r="A387" s="44" t="n"/>
      <c r="B387" s="44" t="inlineStr">
        <is>
          <t>Ext. C (In)</t>
        </is>
      </c>
      <c r="C387" s="43" t="n"/>
      <c r="D387" s="43">
        <f>IF(C387="","",IFERROR(_xlfn.XLOOKUP(C387,HELPER!$A$2:$A$76,HELPER!$B$2:$B$76,""),D387))</f>
        <v/>
      </c>
      <c r="E387" s="43">
        <f>IFERROR(_xlfn.XLOOKUP(D387,HELPER!$B:$B,HELPER!$C:$C,""),"")</f>
        <v/>
      </c>
      <c r="F387" s="42">
        <f>IFERROR(_xlfn.XLOOKUP(D387,HELPER!$B:$B,HELPER!$D:$D,""),"")</f>
        <v/>
      </c>
      <c r="G387" s="42" t="n">
        <v>8</v>
      </c>
      <c r="H387" s="556" t="n"/>
      <c r="I387" s="72">
        <f>IF(AND(H387&lt;&gt;"",IFERROR(_xlfn.XLOOKUP(D387,HELPER!$B:$B,HELPER!$E:$E,""),"")=""),"Missing price",IFERROR(_xlfn.XLOOKUP(D387,HELPER!$B:$B,HELPER!$E:$E,"")," "))</f>
        <v/>
      </c>
      <c r="J387" s="72">
        <f>IFERROR(H387*(IF(G387=8,I387*HELPER!$G$2,BOM!I387*HELPER!$G$3))," ")</f>
        <v/>
      </c>
      <c r="K387" s="6" t="n"/>
      <c r="L387" s="14">
        <f t="array" ref="L387">IFERROR(_xlfn.LET(_xlpm.pairs,_xlfn._xlws.FILTER($A$2:$D$391,($A$2:$A$391&lt;&gt;"")*(TRIM($D$2:$D$391)&lt;&gt;"")),_xlpm.uniquePairs,_xlfn.UNIQUE(_xlfn.HSTACK(INDEX(_xlpm.pairs,,1),INDEX(_xlpm.pairs,,4))),_xlpm.sortedPairs,_xlfn._xlws.SORT(_xlpm.uniquePairs,1,1),IF(ROW()-1&lt;=ROWS(_xlpm.sortedPairs),INDEX(_xlpm.sortedPairs,ROW()-1,1),"")),"")</f>
        <v/>
      </c>
      <c r="M387" s="15">
        <f t="array" ref="M387">IFERROR(_xlfn.LET(_xlpm.pairs,_xlfn._xlws.FILTER($A$2:$D$391,($A$2:$A$391&lt;&gt;"")*(TRIM($D$2:$D$391)&lt;&gt;"")),_xlpm.uniquePairs,_xlfn.UNIQUE(_xlfn.HSTACK(INDEX(_xlpm.pairs,,1),INDEX(_xlpm.pairs,,4))),_xlpm.sortedPairs,_xlfn._xlws.SORT(_xlpm.uniquePairs,1,1),IF(ROW()-1&lt;=ROWS(_xlpm.sortedPairs),INDEX(_xlpm.sortedPairs,ROW()-1,2),"")),"")</f>
        <v/>
      </c>
      <c r="N387" s="15">
        <f t="array" ref="N387">IF(OR(L387="",M387=""),"",IFERROR(INDEX($E$2:$E$391,MATCH(1,($A$2:$A$391=L387)*($D$2:$D$391=M387),0)),""))</f>
        <v/>
      </c>
      <c r="O387" s="69">
        <f>IF(OR(L387="",M387=""),"",SUMIFS($J$2:$J$391,$A$2:$A$391,L387,$D$2:$D$391,M387))</f>
        <v/>
      </c>
      <c r="P387" s="6" t="n"/>
    </row>
    <row r="388">
      <c r="A388" s="44" t="n"/>
      <c r="B388" s="44" t="inlineStr">
        <is>
          <t>Ext. C (In)</t>
        </is>
      </c>
      <c r="C388" s="43" t="n"/>
      <c r="D388" s="43">
        <f>IF(C388="","",IFERROR(_xlfn.XLOOKUP(C388,HELPER!$A$2:$A$76,HELPER!$B$2:$B$76,""),D388))</f>
        <v/>
      </c>
      <c r="E388" s="43">
        <f>IFERROR(_xlfn.XLOOKUP(D388,HELPER!$B:$B,HELPER!$C:$C,""),"")</f>
        <v/>
      </c>
      <c r="F388" s="42">
        <f>IFERROR(_xlfn.XLOOKUP(D388,HELPER!$B:$B,HELPER!$D:$D,""),"")</f>
        <v/>
      </c>
      <c r="G388" s="42" t="n">
        <v>8</v>
      </c>
      <c r="H388" s="556" t="n"/>
      <c r="I388" s="72">
        <f>IF(AND(H388&lt;&gt;"",IFERROR(_xlfn.XLOOKUP(D388,HELPER!$B:$B,HELPER!$E:$E,""),"")=""),"Missing price",IFERROR(_xlfn.XLOOKUP(D388,HELPER!$B:$B,HELPER!$E:$E,"")," "))</f>
        <v/>
      </c>
      <c r="J388" s="72">
        <f>IFERROR(H388*(IF(G388=8,I388*HELPER!$G$2,BOM!I388*HELPER!$G$3))," ")</f>
        <v/>
      </c>
      <c r="K388" s="6" t="n"/>
      <c r="L388" s="14">
        <f t="array" ref="L388">IFERROR(_xlfn.LET(_xlpm.pairs,_xlfn._xlws.FILTER($A$2:$D$391,($A$2:$A$391&lt;&gt;"")*(TRIM($D$2:$D$391)&lt;&gt;"")),_xlpm.uniquePairs,_xlfn.UNIQUE(_xlfn.HSTACK(INDEX(_xlpm.pairs,,1),INDEX(_xlpm.pairs,,4))),_xlpm.sortedPairs,_xlfn._xlws.SORT(_xlpm.uniquePairs,1,1),IF(ROW()-1&lt;=ROWS(_xlpm.sortedPairs),INDEX(_xlpm.sortedPairs,ROW()-1,1),"")),"")</f>
        <v/>
      </c>
      <c r="M388" s="15">
        <f t="array" ref="M388">IFERROR(_xlfn.LET(_xlpm.pairs,_xlfn._xlws.FILTER($A$2:$D$391,($A$2:$A$391&lt;&gt;"")*(TRIM($D$2:$D$391)&lt;&gt;"")),_xlpm.uniquePairs,_xlfn.UNIQUE(_xlfn.HSTACK(INDEX(_xlpm.pairs,,1),INDEX(_xlpm.pairs,,4))),_xlpm.sortedPairs,_xlfn._xlws.SORT(_xlpm.uniquePairs,1,1),IF(ROW()-1&lt;=ROWS(_xlpm.sortedPairs),INDEX(_xlpm.sortedPairs,ROW()-1,2),"")),"")</f>
        <v/>
      </c>
      <c r="N388" s="15">
        <f t="array" ref="N388">IF(OR(L388="",M388=""),"",IFERROR(INDEX($E$2:$E$391,MATCH(1,($A$2:$A$391=L388)*($D$2:$D$391=M388),0)),""))</f>
        <v/>
      </c>
      <c r="O388" s="69">
        <f>IF(OR(L388="",M388=""),"",SUMIFS($J$2:$J$391,$A$2:$A$391,L388,$D$2:$D$391,M388))</f>
        <v/>
      </c>
      <c r="P388" s="6" t="n"/>
    </row>
    <row r="389">
      <c r="A389" s="44" t="n"/>
      <c r="B389" s="44" t="inlineStr">
        <is>
          <t>Ext. C (In)</t>
        </is>
      </c>
      <c r="C389" s="43" t="n"/>
      <c r="D389" s="43">
        <f>IF(C389="","",IFERROR(_xlfn.XLOOKUP(C389,HELPER!$A$2:$A$76,HELPER!$B$2:$B$76,""),D389))</f>
        <v/>
      </c>
      <c r="E389" s="43">
        <f>IFERROR(_xlfn.XLOOKUP(D389,HELPER!$B:$B,HELPER!$C:$C,""),"")</f>
        <v/>
      </c>
      <c r="F389" s="42">
        <f>IFERROR(_xlfn.XLOOKUP(D389,HELPER!$B:$B,HELPER!$D:$D,""),"")</f>
        <v/>
      </c>
      <c r="G389" s="42" t="n">
        <v>8</v>
      </c>
      <c r="H389" s="556" t="n"/>
      <c r="I389" s="72">
        <f>IF(AND(H389&lt;&gt;"",IFERROR(_xlfn.XLOOKUP(D389,HELPER!$B:$B,HELPER!$E:$E,""),"")=""),"Missing price",IFERROR(_xlfn.XLOOKUP(D389,HELPER!$B:$B,HELPER!$E:$E,"")," "))</f>
        <v/>
      </c>
      <c r="J389" s="72">
        <f>IFERROR(H389*(IF(G389=8,I389*HELPER!$G$2,BOM!I389*HELPER!$G$3))," ")</f>
        <v/>
      </c>
      <c r="K389" s="6" t="n"/>
      <c r="L389" s="14">
        <f t="array" ref="L389">IFERROR(_xlfn.LET(_xlpm.pairs,_xlfn._xlws.FILTER($A$2:$D$391,($A$2:$A$391&lt;&gt;"")*(TRIM($D$2:$D$391)&lt;&gt;"")),_xlpm.uniquePairs,_xlfn.UNIQUE(_xlfn.HSTACK(INDEX(_xlpm.pairs,,1),INDEX(_xlpm.pairs,,4))),_xlpm.sortedPairs,_xlfn._xlws.SORT(_xlpm.uniquePairs,1,1),IF(ROW()-1&lt;=ROWS(_xlpm.sortedPairs),INDEX(_xlpm.sortedPairs,ROW()-1,1),"")),"")</f>
        <v/>
      </c>
      <c r="M389" s="15">
        <f t="array" ref="M389">IFERROR(_xlfn.LET(_xlpm.pairs,_xlfn._xlws.FILTER($A$2:$D$391,($A$2:$A$391&lt;&gt;"")*(TRIM($D$2:$D$391)&lt;&gt;"")),_xlpm.uniquePairs,_xlfn.UNIQUE(_xlfn.HSTACK(INDEX(_xlpm.pairs,,1),INDEX(_xlpm.pairs,,4))),_xlpm.sortedPairs,_xlfn._xlws.SORT(_xlpm.uniquePairs,1,1),IF(ROW()-1&lt;=ROWS(_xlpm.sortedPairs),INDEX(_xlpm.sortedPairs,ROW()-1,2),"")),"")</f>
        <v/>
      </c>
      <c r="N389" s="15">
        <f t="array" ref="N389">IF(OR(L389="",M389=""),"",IFERROR(INDEX($E$2:$E$391,MATCH(1,($A$2:$A$391=L389)*($D$2:$D$391=M389),0)),""))</f>
        <v/>
      </c>
      <c r="O389" s="69">
        <f>IF(OR(L389="",M389=""),"",SUMIFS($J$2:$J$391,$A$2:$A$391,L389,$D$2:$D$391,M389))</f>
        <v/>
      </c>
      <c r="P389" s="6" t="n"/>
    </row>
    <row r="390">
      <c r="A390" s="44" t="n"/>
      <c r="B390" s="44" t="inlineStr">
        <is>
          <t>Ext. C (In)</t>
        </is>
      </c>
      <c r="C390" s="43" t="n"/>
      <c r="D390" s="43">
        <f>IF(C390="","",IFERROR(_xlfn.XLOOKUP(C390,HELPER!$A$2:$A$76,HELPER!$B$2:$B$76,""),D390))</f>
        <v/>
      </c>
      <c r="E390" s="43">
        <f>IFERROR(_xlfn.XLOOKUP(D390,HELPER!$B:$B,HELPER!$C:$C,""),"")</f>
        <v/>
      </c>
      <c r="F390" s="42">
        <f>IFERROR(_xlfn.XLOOKUP(D390,HELPER!$B:$B,HELPER!$D:$D,""),"")</f>
        <v/>
      </c>
      <c r="G390" s="42" t="n">
        <v>8</v>
      </c>
      <c r="H390" s="556" t="n"/>
      <c r="I390" s="72">
        <f>IF(AND(H390&lt;&gt;"",IFERROR(_xlfn.XLOOKUP(D390,HELPER!$B:$B,HELPER!$E:$E,""),"")=""),"Missing price",IFERROR(_xlfn.XLOOKUP(D390,HELPER!$B:$B,HELPER!$E:$E,"")," "))</f>
        <v/>
      </c>
      <c r="J390" s="72">
        <f>IFERROR(H390*(IF(G390=8,I390*HELPER!$G$2,BOM!I390*HELPER!$G$3))," ")</f>
        <v/>
      </c>
      <c r="K390" s="6" t="n"/>
      <c r="L390" s="14">
        <f t="array" ref="L390">IFERROR(_xlfn.LET(_xlpm.pairs,_xlfn._xlws.FILTER($A$2:$D$391,($A$2:$A$391&lt;&gt;"")*(TRIM($D$2:$D$391)&lt;&gt;"")),_xlpm.uniquePairs,_xlfn.UNIQUE(_xlfn.HSTACK(INDEX(_xlpm.pairs,,1),INDEX(_xlpm.pairs,,4))),_xlpm.sortedPairs,_xlfn._xlws.SORT(_xlpm.uniquePairs,1,1),IF(ROW()-1&lt;=ROWS(_xlpm.sortedPairs),INDEX(_xlpm.sortedPairs,ROW()-1,1),"")),"")</f>
        <v/>
      </c>
      <c r="M390" s="15">
        <f t="array" ref="M390">IFERROR(_xlfn.LET(_xlpm.pairs,_xlfn._xlws.FILTER($A$2:$D$391,($A$2:$A$391&lt;&gt;"")*(TRIM($D$2:$D$391)&lt;&gt;"")),_xlpm.uniquePairs,_xlfn.UNIQUE(_xlfn.HSTACK(INDEX(_xlpm.pairs,,1),INDEX(_xlpm.pairs,,4))),_xlpm.sortedPairs,_xlfn._xlws.SORT(_xlpm.uniquePairs,1,1),IF(ROW()-1&lt;=ROWS(_xlpm.sortedPairs),INDEX(_xlpm.sortedPairs,ROW()-1,2),"")),"")</f>
        <v/>
      </c>
      <c r="N390" s="15">
        <f t="array" ref="N390">IF(OR(L390="",M390=""),"",IFERROR(INDEX($E$2:$E$391,MATCH(1,($A$2:$A$391=L390)*($D$2:$D$391=M390),0)),""))</f>
        <v/>
      </c>
      <c r="O390" s="69">
        <f>IF(OR(L390="",M390=""),"",SUMIFS($J$2:$J$391,$A$2:$A$391,L390,$D$2:$D$391,M390))</f>
        <v/>
      </c>
      <c r="P390" s="6" t="n"/>
    </row>
    <row r="391">
      <c r="A391" s="44" t="n"/>
      <c r="B391" s="44" t="inlineStr">
        <is>
          <t>Ext. C (In)</t>
        </is>
      </c>
      <c r="C391" s="43" t="n"/>
      <c r="D391" s="43">
        <f>IF(C391="","",IFERROR(_xlfn.XLOOKUP(C391,HELPER!$A$2:$A$76,HELPER!$B$2:$B$76,""),D391))</f>
        <v/>
      </c>
      <c r="E391" s="43">
        <f>IFERROR(_xlfn.XLOOKUP(D391,HELPER!$B:$B,HELPER!$C:$C,""),"")</f>
        <v/>
      </c>
      <c r="F391" s="42">
        <f>IFERROR(_xlfn.XLOOKUP(D391,HELPER!$B:$B,HELPER!$D:$D,""),"")</f>
        <v/>
      </c>
      <c r="G391" s="42" t="n">
        <v>8</v>
      </c>
      <c r="H391" s="556" t="n"/>
      <c r="I391" s="72">
        <f>IF(AND(H391&lt;&gt;"",IFERROR(_xlfn.XLOOKUP(D391,HELPER!$B:$B,HELPER!$E:$E,""),"")=""),"Missing price",IFERROR(_xlfn.XLOOKUP(D391,HELPER!$B:$B,HELPER!$E:$E,"")," "))</f>
        <v/>
      </c>
      <c r="J391" s="72">
        <f>IFERROR(H391*(IF(G391=8,I391*HELPER!$G$2,BOM!I391*HELPER!$G$3))," ")</f>
        <v/>
      </c>
      <c r="K391" s="6" t="n"/>
      <c r="L391" s="14">
        <f t="array" ref="L391">IFERROR(_xlfn.LET(_xlpm.pairs,_xlfn._xlws.FILTER($A$2:$D$391,($A$2:$A$391&lt;&gt;"")*(TRIM($D$2:$D$391)&lt;&gt;"")),_xlpm.uniquePairs,_xlfn.UNIQUE(_xlfn.HSTACK(INDEX(_xlpm.pairs,,1),INDEX(_xlpm.pairs,,4))),_xlpm.sortedPairs,_xlfn._xlws.SORT(_xlpm.uniquePairs,1,1),IF(ROW()-1&lt;=ROWS(_xlpm.sortedPairs),INDEX(_xlpm.sortedPairs,ROW()-1,1),"")),"")</f>
        <v/>
      </c>
      <c r="M391" s="15">
        <f t="array" ref="M391">IFERROR(_xlfn.LET(_xlpm.pairs,_xlfn._xlws.FILTER($A$2:$D$391,($A$2:$A$391&lt;&gt;"")*(TRIM($D$2:$D$391)&lt;&gt;"")),_xlpm.uniquePairs,_xlfn.UNIQUE(_xlfn.HSTACK(INDEX(_xlpm.pairs,,1),INDEX(_xlpm.pairs,,4))),_xlpm.sortedPairs,_xlfn._xlws.SORT(_xlpm.uniquePairs,1,1),IF(ROW()-1&lt;=ROWS(_xlpm.sortedPairs),INDEX(_xlpm.sortedPairs,ROW()-1,2),"")),"")</f>
        <v/>
      </c>
      <c r="N391" s="15">
        <f t="array" ref="N391">IF(OR(L391="",M391=""),"",IFERROR(INDEX($E$2:$E$391,MATCH(1,($A$2:$A$391=L391)*($D$2:$D$391=M391),0)),""))</f>
        <v/>
      </c>
      <c r="O391" s="69">
        <f>IF(OR(L391="",M391=""),"",SUMIFS($J$2:$J$391,$A$2:$A$391,L391,$D$2:$D$391,M391))</f>
        <v/>
      </c>
      <c r="P391" s="6" t="n"/>
    </row>
    <row r="394">
      <c r="G394" s="98" t="n"/>
    </row>
    <row r="395">
      <c r="A395" s="48" t="inlineStr">
        <is>
          <t>CHANGE LOG</t>
        </is>
      </c>
      <c r="G395" s="99" t="n"/>
    </row>
    <row r="396">
      <c r="A396" s="49" t="inlineStr">
        <is>
          <t>Structure Changes Made:</t>
        </is>
      </c>
    </row>
    <row r="397">
      <c r="A397" s="49" t="inlineStr">
        <is>
          <t>1. HELPER: Moved Serial Number column to position C</t>
        </is>
      </c>
    </row>
    <row r="398">
      <c r="A398" s="49" t="inlineStr">
        <is>
          <t>2. BOM: Added Serial Number column E</t>
        </is>
      </c>
    </row>
    <row r="399">
      <c r="A399" s="49" t="inlineStr">
        <is>
          <t>3. BOM: Added XLOOKUP formulas for Serial Number and Resin</t>
        </is>
      </c>
    </row>
    <row r="400">
      <c r="A400" s="49" t="inlineStr">
        <is>
          <t>4. BOM: Fixed second table headers</t>
        </is>
      </c>
    </row>
    <row r="401">
      <c r="A401" s="49" t="inlineStr">
        <is>
          <t>5. BOM: Price Calculated uses Serial Number</t>
        </is>
      </c>
    </row>
    <row r="403">
      <c r="A403" s="49" t="inlineStr">
        <is>
          <t>Price Verification - NO CHANGES in values</t>
        </is>
      </c>
    </row>
    <row r="404">
      <c r="A404" s="49" t="inlineStr">
        <is>
          <t>All Film prices match original values</t>
        </is>
      </c>
    </row>
  </sheetData>
  <conditionalFormatting sqref="C6:G391">
    <cfRule type="containsText" priority="1" operator="containsText" dxfId="0" text="Missing Price">
      <formula>NOT(ISERROR(SEARCH("Missing Price",C6)))</formula>
    </cfRule>
  </conditionalFormatting>
  <conditionalFormatting sqref="H2:H391">
    <cfRule type="expression" priority="3" dxfId="6">
      <formula>SUM(OFFSET($H$2,(INT((ROW()-2)/10))*10,0,10,1))=1</formula>
    </cfRule>
    <cfRule type="expression" priority="4" dxfId="5">
      <formula>AND(SUM(OFFSET($H$2,(INT((ROW()-2)/10))*10,0,10,1))&gt;0,SUM(OFFSET($H$2,(INT((ROW()-2)/10))*10,0,10,1))&lt;1)</formula>
    </cfRule>
  </conditionalFormatting>
  <conditionalFormatting sqref="I2:I1048576">
    <cfRule type="containsText" priority="2" operator="containsText" dxfId="0" text="Missing Price">
      <formula>NOT(ISERROR(SEARCH("Missing Price",I2)))</formula>
    </cfRule>
  </conditionalFormatting>
  <pageMargins left="0.7" right="0.7" top="0.75" bottom="0.75" header="0.3" footer="0.3"/>
  <legacyDrawing xmlns:r="http://schemas.openxmlformats.org/officeDocument/2006/relationships" r:id="anysvml"/>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tabColor rgb="FFFFFF00"/>
    <outlinePr summaryBelow="1" summaryRight="1"/>
    <pageSetUpPr/>
  </sheetPr>
  <dimension ref="A1:BB55"/>
  <sheetViews>
    <sheetView tabSelected="1" topLeftCell="U5" zoomScaleNormal="100" workbookViewId="0">
      <selection activeCell="AA24" sqref="AA24"/>
    </sheetView>
  </sheetViews>
  <sheetFormatPr baseColWidth="8" defaultRowHeight="15" outlineLevelRow="1"/>
  <cols>
    <col width="32.5703125" customWidth="1" style="2" min="1" max="1"/>
    <col width="17.42578125" customWidth="1" style="430" min="2" max="2"/>
    <col width="16.5703125" customWidth="1" style="430" min="3" max="3"/>
    <col width="32.5703125" customWidth="1" style="430" min="4" max="4"/>
    <col width="14.5703125" customWidth="1" style="430" min="5" max="5"/>
    <col width="19.28515625" customWidth="1" style="430" min="6" max="6"/>
    <col width="14.85546875" customWidth="1" style="430" min="7" max="7"/>
    <col width="23.28515625" customWidth="1" style="557" min="8" max="8"/>
    <col width="20.5703125" customWidth="1" style="557" min="9" max="9"/>
    <col width="14.5703125" customWidth="1" style="430" min="10" max="10"/>
    <col width="22.28515625" customWidth="1" style="430" min="11" max="11"/>
    <col width="17.85546875" customWidth="1" style="63" min="12" max="12"/>
    <col width="26.28515625" customWidth="1" style="430" min="13" max="13"/>
    <col width="16.28515625" customWidth="1" style="430" min="14" max="14"/>
    <col width="29.28515625" customWidth="1" style="430" min="15" max="15"/>
    <col width="19.7109375" bestFit="1" customWidth="1" style="430" min="16" max="16"/>
    <col width="15.7109375" customWidth="1" style="430" min="17" max="20"/>
    <col width="21.28515625" customWidth="1" style="430" min="21" max="21"/>
    <col width="22.7109375" customWidth="1" style="430" min="22" max="22"/>
    <col width="19.140625" customWidth="1" style="430" min="23" max="23"/>
    <col width="16.85546875" customWidth="1" style="430" min="24" max="24"/>
    <col width="19.140625" customWidth="1" style="430" min="25" max="25"/>
    <col width="9.140625" customWidth="1" style="430" min="26" max="26"/>
    <col width="12.85546875" bestFit="1" customWidth="1" style="430" min="27" max="27"/>
    <col width="20.85546875" bestFit="1" customWidth="1" style="430" min="28" max="28"/>
    <col width="16.7109375" bestFit="1" customWidth="1" style="430" min="29" max="29"/>
    <col width="5" bestFit="1" customWidth="1" style="430" min="30" max="30"/>
    <col width="4" customWidth="1" style="430" min="31" max="31"/>
    <col width="20.85546875" bestFit="1" customWidth="1" style="430" min="32" max="32"/>
    <col width="16.7109375" bestFit="1" customWidth="1" style="430" min="33" max="33"/>
    <col width="6.140625" bestFit="1" customWidth="1" style="430" min="34" max="34"/>
    <col width="4.5703125" customWidth="1" style="430" min="35" max="35"/>
    <col width="20.85546875" bestFit="1" customWidth="1" style="430" min="36" max="36"/>
    <col width="16.7109375" bestFit="1" customWidth="1" style="430" min="37" max="37"/>
    <col width="6.140625" bestFit="1" customWidth="1" style="430" min="38" max="38"/>
    <col width="4.7109375" customWidth="1" style="430" min="39" max="39"/>
    <col width="20.85546875" bestFit="1" customWidth="1" style="430" min="40" max="40"/>
    <col width="16.7109375" bestFit="1" customWidth="1" style="430" min="41" max="41"/>
    <col width="6.140625" bestFit="1" customWidth="1" style="430" min="42" max="42"/>
    <col width="4.85546875" customWidth="1" style="430" min="43" max="43"/>
    <col width="20.85546875" bestFit="1" customWidth="1" style="430" min="44" max="44"/>
    <col width="16.7109375" bestFit="1" customWidth="1" style="430" min="45" max="45"/>
    <col width="6.140625" bestFit="1" customWidth="1" style="430" min="46" max="46"/>
    <col width="4.5703125" customWidth="1" style="430" min="47" max="47"/>
    <col width="20.85546875" bestFit="1" customWidth="1" style="430" min="48" max="48"/>
    <col width="16.7109375" bestFit="1" customWidth="1" style="430" min="49" max="49"/>
    <col width="6.140625" bestFit="1" customWidth="1" style="430" min="50" max="50"/>
    <col width="20.85546875" bestFit="1" customWidth="1" style="430" min="52" max="52"/>
    <col width="16.7109375" bestFit="1" customWidth="1" style="430" min="53" max="53"/>
    <col width="6.140625" bestFit="1" customWidth="1" style="430" min="54" max="54"/>
  </cols>
  <sheetData>
    <row r="1">
      <c r="A1" s="18" t="inlineStr">
        <is>
          <t>Dropdown</t>
        </is>
      </c>
      <c r="B1" s="19" t="inlineStr">
        <is>
          <t>Manual</t>
        </is>
      </c>
      <c r="C1" s="19" t="inlineStr">
        <is>
          <t>Dropdown</t>
        </is>
      </c>
      <c r="D1" s="19" t="n"/>
      <c r="E1" s="19" t="n"/>
      <c r="F1" s="19" t="n"/>
      <c r="G1" s="19" t="n"/>
      <c r="H1" s="19" t="n"/>
      <c r="I1" s="19" t="n"/>
      <c r="J1" s="19" t="n"/>
      <c r="K1" s="19" t="n"/>
      <c r="L1" s="19" t="n"/>
      <c r="M1" s="19" t="n"/>
      <c r="N1" s="19" t="n"/>
      <c r="O1" s="19" t="n"/>
      <c r="P1" s="19" t="n"/>
      <c r="Q1" s="19" t="n"/>
      <c r="R1" s="19" t="n"/>
      <c r="S1" s="19" t="n"/>
      <c r="T1" s="19" t="n"/>
      <c r="U1" s="19" t="n"/>
      <c r="V1" s="19" t="n"/>
      <c r="W1" s="211" t="n">
        <v>0.2</v>
      </c>
      <c r="X1" s="19" t="n"/>
      <c r="Y1" s="19" t="n"/>
      <c r="Z1" s="19" t="n"/>
      <c r="AF1" s="218" t="n"/>
      <c r="AG1" s="219" t="n"/>
      <c r="AH1" s="220" t="n"/>
      <c r="AJ1" s="218" t="n"/>
      <c r="AK1" s="219" t="n"/>
      <c r="AL1" s="220" t="n"/>
      <c r="AN1" s="218" t="n"/>
      <c r="AO1" s="219" t="n"/>
      <c r="AP1" s="220" t="n"/>
      <c r="AR1" s="218" t="n"/>
      <c r="AS1" s="219" t="n"/>
      <c r="AT1" s="220" t="n"/>
      <c r="AV1" s="218" t="n"/>
      <c r="AW1" s="219" t="n"/>
      <c r="AX1" s="220" t="n"/>
      <c r="AZ1" s="218" t="n"/>
      <c r="BA1" s="219" t="n"/>
      <c r="BB1" s="220" t="n"/>
    </row>
    <row r="2" ht="27.95" customHeight="1" s="430" thickBot="1">
      <c r="A2" s="20" t="inlineStr">
        <is>
          <t>Film Type</t>
        </is>
      </c>
      <c r="B2" s="20" t="inlineStr">
        <is>
          <t>Width (mm)</t>
        </is>
      </c>
      <c r="C2" s="20" t="inlineStr">
        <is>
          <t>Thickness (µ)</t>
        </is>
      </c>
      <c r="D2" s="20" t="inlineStr">
        <is>
          <t>Density</t>
        </is>
      </c>
      <c r="E2" s="20" t="inlineStr">
        <is>
          <t>Weight (Kg)</t>
        </is>
      </c>
      <c r="F2" s="20" t="inlineStr">
        <is>
          <t>Weight Override</t>
        </is>
      </c>
      <c r="G2" s="20" t="inlineStr">
        <is>
          <t>Length (Mr)</t>
        </is>
      </c>
      <c r="H2" s="558" t="inlineStr">
        <is>
          <t>Total KG in one Meter</t>
        </is>
      </c>
      <c r="I2" s="558" t="inlineStr">
        <is>
          <t>Total Kg Produced</t>
        </is>
      </c>
      <c r="J2" s="20" t="inlineStr">
        <is>
          <t>Hourly rate</t>
        </is>
      </c>
      <c r="K2" s="20" t="inlineStr">
        <is>
          <t>1Kg production cost</t>
        </is>
      </c>
      <c r="L2" s="20" t="inlineStr">
        <is>
          <t>RM cost in 1 Kg</t>
        </is>
      </c>
      <c r="M2" s="20" t="inlineStr">
        <is>
          <t>Total RM and Production</t>
        </is>
      </c>
      <c r="N2" s="20" t="inlineStr">
        <is>
          <t>Depreciation</t>
        </is>
      </c>
      <c r="O2" s="20" t="inlineStr">
        <is>
          <t>Total Cost and depreciation</t>
        </is>
      </c>
      <c r="P2" s="20" t="inlineStr">
        <is>
          <t>Thickness waste</t>
        </is>
      </c>
      <c r="Q2" s="20" t="inlineStr">
        <is>
          <t>Other costs</t>
        </is>
      </c>
      <c r="R2" s="20" t="inlineStr">
        <is>
          <t>Supplier</t>
        </is>
      </c>
      <c r="S2" s="559" t="inlineStr">
        <is>
          <t>Printing</t>
        </is>
      </c>
      <c r="T2" s="559" t="inlineStr">
        <is>
          <t>Printing Waste</t>
        </is>
      </c>
      <c r="U2" s="20" t="inlineStr">
        <is>
          <t>Setup</t>
        </is>
      </c>
      <c r="V2" s="20" t="inlineStr">
        <is>
          <t>Shiping Destination</t>
        </is>
      </c>
      <c r="W2" s="20" t="inlineStr">
        <is>
          <t>Shiping cost</t>
        </is>
      </c>
      <c r="X2" s="20" t="inlineStr">
        <is>
          <t>Total Cost</t>
        </is>
      </c>
      <c r="Y2" s="20" t="inlineStr">
        <is>
          <t>Margin</t>
        </is>
      </c>
      <c r="Z2" s="20" t="inlineStr">
        <is>
          <t>Sell Price</t>
        </is>
      </c>
      <c r="AF2" s="221" t="inlineStr">
        <is>
          <t>📊 MARGIN</t>
        </is>
      </c>
      <c r="AG2" s="438" t="n">
        <v>0.225</v>
      </c>
      <c r="AH2" s="560" t="n"/>
      <c r="AJ2" s="221" t="inlineStr">
        <is>
          <t>📊 MARGIN</t>
        </is>
      </c>
      <c r="AK2" s="438" t="n">
        <v>0.25</v>
      </c>
      <c r="AL2" s="560" t="n"/>
      <c r="AN2" s="221" t="inlineStr">
        <is>
          <t>📊 MARGIN</t>
        </is>
      </c>
      <c r="AO2" s="438" t="n">
        <v>0.25</v>
      </c>
      <c r="AP2" s="560" t="n"/>
      <c r="AR2" s="221" t="inlineStr">
        <is>
          <t>📊 MARGIN</t>
        </is>
      </c>
      <c r="AS2" s="438" t="n">
        <v>0.25</v>
      </c>
      <c r="AT2" s="560" t="n"/>
      <c r="AV2" s="221" t="inlineStr">
        <is>
          <t>📊 MARGIN</t>
        </is>
      </c>
      <c r="AW2" s="438" t="n">
        <v>0.25</v>
      </c>
      <c r="AX2" s="560" t="n"/>
      <c r="AZ2" s="221" t="inlineStr">
        <is>
          <t>📊 MARGIN</t>
        </is>
      </c>
      <c r="BA2" s="438" t="n">
        <v>0.25</v>
      </c>
      <c r="BB2" s="560" t="n"/>
    </row>
    <row r="3" ht="32.1" customHeight="1" s="430">
      <c r="A3" s="22">
        <f>AG4</f>
        <v/>
      </c>
      <c r="B3" s="22">
        <f>AG5</f>
        <v/>
      </c>
      <c r="C3" s="22">
        <f>AG6</f>
        <v/>
      </c>
      <c r="D3" s="27">
        <f>AG7</f>
        <v/>
      </c>
      <c r="E3" s="561">
        <f>IF(OR(A3="",A3="-"),"",IF(AND(G3&lt;&gt;"",H3&lt;&gt;""),G3*H3,""))</f>
        <v/>
      </c>
      <c r="F3" s="562">
        <f>IF($AG$22="By Length", $AG$23*H3, $AG$8)</f>
        <v/>
      </c>
      <c r="G3" s="22">
        <f>AG9</f>
        <v/>
      </c>
      <c r="H3" s="563">
        <f>IF(OR(A3="",A3="-"),"",IF(AND(B3&lt;&gt;"",C3&lt;&gt;"",D3&lt;&gt;""),D3*(C3/1000)*(B3/1000),""))</f>
        <v/>
      </c>
      <c r="I3" s="561">
        <f>IF(OR(A3="",A3="-"),"",IF(F3&lt;&gt;"",F3,IF(AND(G3&lt;&gt;"",H3&lt;&gt;""),G3*H3,"")))</f>
        <v/>
      </c>
      <c r="J3" s="564">
        <f>AG10</f>
        <v/>
      </c>
      <c r="K3" s="26">
        <f>IF(AND(I3&lt;&gt;"",I3&lt;&gt;0), J3/I3 + 0.2, "")</f>
        <v/>
      </c>
      <c r="L3" s="27">
        <f>IFERROR(VLOOKUP(A3,BOM!$Q$2:$R$50,2,FALSE),0)</f>
        <v/>
      </c>
      <c r="M3" s="565">
        <f>IFERROR((L3+K3),0)</f>
        <v/>
      </c>
      <c r="N3" s="566">
        <f>IF(OR(I3="",I3=0),"",VLOOKUP(I3,HELPER!$AM$2:$AN$6,2,TRUE))</f>
        <v/>
      </c>
      <c r="O3" s="565">
        <f>IF(AND(M3&lt;&gt;"",N3&lt;&gt;""),M3*(1+N3),"")</f>
        <v/>
      </c>
      <c r="P3" s="565">
        <f>IF(AND(Table1[[#This Row],[Thickness (µ)]]&lt;&gt;"",Table1[[#This Row],[RM cost in 1 Kg]]&lt;&gt;""), VLOOKUP(Table1[[#This Row],[Thickness (µ)]], HELPER!$BH$3:$BI$5, 2, TRUE) * Table1[[#This Row],[RM cost in 1 Kg]], "")</f>
        <v/>
      </c>
      <c r="Q3" s="96" t="n">
        <v>0.3</v>
      </c>
      <c r="R3" s="426" t="inlineStr">
        <is>
          <t>Marma</t>
        </is>
      </c>
      <c r="S3" s="428">
        <f t="array" ref="S3">IF(OR(AG12="Not Printed",AG13=0,AG13="0"),0,_xlfn.LET(_xlpm.len,AG9,_xlpm.colors,AG13,_xlpm.colNum,IF(_xlpm.len&lt;3000,1,IF(_xlpm.len&lt;10000,2,IF(_xlpm.len&lt;25000,3,IF(_xlpm.len&lt;50000,4,IF(_xlpm.len&lt;100000,5,IF(_xlpm.len&lt;250000,6,IF(_xlpm.len&lt;500000,7,8))))))),_xlpm.widthRow,IF(AG5&lt;=760,0,5),_xlpm.colorOffset,IF(OR(_xlpm.colors=1,_xlpm.colors=2,_xlpm.colors="1-2"),1,IF(OR(_xlpm.colors=3,_xlpm.colors=4,_xlpm.colors="3-4"),2,IF(OR(_xlpm.colors&gt;=5,_xlpm.colors="5-6",_xlpm.colors="5-8"),3,0))),_xlpm.supplierRow,IF(AG14="Marma",3,IF(AG14="Bastin",13,0)),IF(OR(_xlpm.supplierRow=0,_xlpm.colorOffset=0),0,INDEX('Lmntn &amp; Prntng- Marma &amp; Bastin '!$D:$K,_xlpm.supplierRow+_xlpm.widthRow+_xlpm.colorOffset,_xlpm.colNum))))</f>
        <v/>
      </c>
      <c r="T3" s="96">
        <f>IF($AG$12="Printed",$L3*0.028,0)</f>
        <v/>
      </c>
      <c r="U3" s="23">
        <f>IF(Table1[[#This Row],[RM cost in 1 Kg]]&gt;0,((1500+3000)/30000),0)</f>
        <v/>
      </c>
      <c r="V3" s="23">
        <f>AG11</f>
        <v/>
      </c>
      <c r="W3" s="14">
        <f>IFERROR(IF(V3="Europe to Canada",IF(I3&lt;1000,(I3/1000)*VLOOKUP(1000,HELPER!$AG$4:$AH$8,2,FALSE)/I3,VLOOKUP(I3,HELPER!$AG$4:$AH$8,2,TRUE)/I3),VLOOKUP(V3,HELPER!$AF$2:$AH$3,3,FALSE)),0)</f>
        <v/>
      </c>
      <c r="X3" s="567">
        <f>IFERROR((Table1[[#This Row],[Total Cost and depreciation]]+Table1[[#This Row],[Thickness waste]]+Table1[[#This Row],[Other costs]]+Table1[[#This Row],[Setup]]+Table1[[#This Row],[Shiping cost]]+Table1[[#This Row],[Printing Waste]]+(Table1[[#This Row],[Printing]]*Table1[[#This Row],[Length (Mr)]]/Table1[[#This Row],[Weight Override]])),0)</f>
        <v/>
      </c>
      <c r="Y3" s="63">
        <f>Table1[[#This Row],[Total Cost]]*($W$1)</f>
        <v/>
      </c>
      <c r="Z3" s="567">
        <f>Table1[[#This Row],[Total Cost]]+Table1[[#This Row],[Margin]]</f>
        <v/>
      </c>
      <c r="AF3" s="439" t="inlineStr">
        <is>
          <t>🧮 CALCULATOR 1</t>
        </is>
      </c>
      <c r="AH3" s="568" t="n"/>
      <c r="AJ3" s="439" t="inlineStr">
        <is>
          <t>🧮 CALCULATOR 2</t>
        </is>
      </c>
      <c r="AL3" s="568" t="n"/>
      <c r="AN3" s="439" t="inlineStr">
        <is>
          <t>🧮 CALCULATOR 3</t>
        </is>
      </c>
      <c r="AP3" s="568" t="n"/>
      <c r="AR3" s="439" t="inlineStr">
        <is>
          <t>🧮 CALCULATOR 4</t>
        </is>
      </c>
      <c r="AT3" s="568" t="n"/>
      <c r="AV3" s="439" t="inlineStr">
        <is>
          <t>🧮 CALCULATOR 5</t>
        </is>
      </c>
      <c r="AX3" s="568" t="n"/>
      <c r="AZ3" s="439" t="inlineStr">
        <is>
          <t>🧮 CALCULATOR 6</t>
        </is>
      </c>
      <c r="BB3" s="568" t="n"/>
    </row>
    <row r="4" ht="27" customHeight="1" s="430">
      <c r="A4" s="51">
        <f>AK4</f>
        <v/>
      </c>
      <c r="B4" s="51">
        <f>AK5</f>
        <v/>
      </c>
      <c r="C4" s="51">
        <f>AK6</f>
        <v/>
      </c>
      <c r="D4" s="32">
        <f>AK7</f>
        <v/>
      </c>
      <c r="E4" s="569">
        <f>IF(OR(A4="",A4="-"),"",IF(AND(G4&lt;&gt;"",H4&lt;&gt;""),G4*H4,""))</f>
        <v/>
      </c>
      <c r="F4" s="570">
        <f>IF($AK$22="By Length", $AK$23*H4, $AK$8)</f>
        <v/>
      </c>
      <c r="G4" s="212">
        <f>AK9</f>
        <v/>
      </c>
      <c r="H4" s="571">
        <f>IF(OR(A4="",A4="-"),"",IF(AND(B4&lt;&gt;"",C4&lt;&gt;"",D4&lt;&gt;""),D4*(C4/1000)*(B4/1000),""))</f>
        <v/>
      </c>
      <c r="I4" s="569">
        <f>IF(OR(A4="",A4="-"),"",IF(F4&lt;&gt;"",F4,IF(AND(G4&lt;&gt;"",H4&lt;&gt;""),G4*H4,"")))</f>
        <v/>
      </c>
      <c r="J4" s="572">
        <f>AK10</f>
        <v/>
      </c>
      <c r="K4" s="31" t="n">
        <v>1.22</v>
      </c>
      <c r="L4" s="32">
        <f>IFERROR(VLOOKUP(A4,BOM!$Q$2:$R$50,2,FALSE),0)</f>
        <v/>
      </c>
      <c r="M4" s="572">
        <f>IFERROR((L4+K4),0)</f>
        <v/>
      </c>
      <c r="N4" s="566">
        <f>IF(OR(I4="",I4=0),"",VLOOKUP(I4,HELPER!$AM$2:$AN$6,2,TRUE))</f>
        <v/>
      </c>
      <c r="O4" s="572">
        <f>IF(AND(M4&lt;&gt;"",N4&lt;&gt;""),M4*(1+N4),"")</f>
        <v/>
      </c>
      <c r="P4" s="572">
        <f>IF(AND(Table1[[#This Row],[Thickness (µ)]]&lt;&gt;"",Table1[[#This Row],[RM cost in 1 Kg]]&lt;&gt;""), VLOOKUP(Table1[[#This Row],[Thickness (µ)]], HELPER!$BH$3:$BI$5, 2, TRUE) * Table1[[#This Row],[RM cost in 1 Kg]], "")</f>
        <v/>
      </c>
      <c r="Q4" s="97" t="n">
        <v>0</v>
      </c>
      <c r="R4" s="427">
        <f>$AK$14</f>
        <v/>
      </c>
      <c r="S4" s="427">
        <f t="array" ref="S4">IF(OR(AK12="Not Printed",AK13=0,AK13="0"),0,_xlfn.LET(_xlpm.len,AK9,_xlpm.colors,AK13,_xlpm.colNum,IF(_xlpm.len&lt;3000,1,IF(_xlpm.len&lt;10000,2,IF(_xlpm.len&lt;25000,3,IF(_xlpm.len&lt;50000,4,IF(_xlpm.len&lt;100000,5,IF(_xlpm.len&lt;250000,6,IF(_xlpm.len&lt;500000,7,8))))))),_xlpm.widthRow,IF(AK5&lt;=760,0,5),_xlpm.colorOffset,IF(OR(_xlpm.colors=1,_xlpm.colors=2,_xlpm.colors="1-2"),1,IF(OR(_xlpm.colors=3,_xlpm.colors=4,_xlpm.colors="3-4"),2,IF(OR(_xlpm.colors&gt;=5,_xlpm.colors="5-6",_xlpm.colors="5-8"),3,0))),_xlpm.supplierRow,IF(AK14="Marma",3,IF(AK14="Bastin",13,0)),IF(OR(_xlpm.supplierRow=0,_xlpm.colorOffset=0),0,INDEX('Lmntn &amp; Prntng- Marma &amp; Bastin '!$D:$K,_xlpm.supplierRow+_xlpm.widthRow+_xlpm.colorOffset,_xlpm.colNum))))</f>
        <v/>
      </c>
      <c r="T4" s="97">
        <f>IF($AK$12="Printed",$L4*0.028,0)</f>
        <v/>
      </c>
      <c r="U4" s="28">
        <f>IF(Table1[[#This Row],[RM cost in 1 Kg]]&gt;0,((1500+3000)/30000),0)</f>
        <v/>
      </c>
      <c r="V4" s="28">
        <f>AK11</f>
        <v/>
      </c>
      <c r="W4" s="28">
        <f>IFERROR(IF(V4="Europe to Canada",IF(I4&lt;1000,(I4/1000)*VLOOKUP(1000,HELPER!$AG$4:$AH$8,2,FALSE)/I4,VLOOKUP(I4,HELPER!$AG$4:$AH$8,2,TRUE)/I4),VLOOKUP(V4,HELPER!$AF$2:$AH$3,3,FALSE)),0)</f>
        <v/>
      </c>
      <c r="X4" s="567">
        <f>IFERROR((Table1[[#This Row],[Total Cost and depreciation]]+Table1[[#This Row],[Thickness waste]]+Table1[[#This Row],[Other costs]]+Table1[[#This Row],[Setup]]+Table1[[#This Row],[Shiping cost]]+Table1[[#This Row],[Printing Waste]]+(Table1[[#This Row],[Printing]]*Table1[[#This Row],[Length (Mr)]]/Table1[[#This Row],[Weight Override]])),0)</f>
        <v/>
      </c>
      <c r="Y4" s="63">
        <f>Table1[[#This Row],[Total Cost]]*($W$1)</f>
        <v/>
      </c>
      <c r="Z4" s="567">
        <f>Table1[[#This Row],[Total Cost]]+Table1[[#This Row],[Margin]]</f>
        <v/>
      </c>
      <c r="AF4" s="222" t="inlineStr">
        <is>
          <t>🎬 Film Type</t>
        </is>
      </c>
      <c r="AG4" s="223" t="inlineStr">
        <is>
          <t>TIPA 302FG</t>
        </is>
      </c>
      <c r="AH4" s="224" t="n"/>
      <c r="AJ4" s="222" t="inlineStr">
        <is>
          <t>🎬 Film Type</t>
        </is>
      </c>
      <c r="AK4" s="223" t="inlineStr">
        <is>
          <t>TIPA 302FG</t>
        </is>
      </c>
      <c r="AL4" s="224" t="n"/>
      <c r="AN4" s="222" t="inlineStr">
        <is>
          <t>🎬 Film Type</t>
        </is>
      </c>
      <c r="AO4" s="223" t="inlineStr">
        <is>
          <t>TIPA 302FG</t>
        </is>
      </c>
      <c r="AP4" s="224" t="n"/>
      <c r="AR4" s="222" t="inlineStr">
        <is>
          <t>🎬 Film Type</t>
        </is>
      </c>
      <c r="AS4" s="223" t="inlineStr">
        <is>
          <t>TIPA 302FG</t>
        </is>
      </c>
      <c r="AT4" s="224" t="n"/>
      <c r="AV4" s="222" t="inlineStr">
        <is>
          <t>🎬 Film Type</t>
        </is>
      </c>
      <c r="AW4" s="223" t="inlineStr">
        <is>
          <t>TIPA 302FG</t>
        </is>
      </c>
      <c r="AX4" s="224" t="n"/>
      <c r="AZ4" s="222" t="inlineStr">
        <is>
          <t>🎬 Film Type</t>
        </is>
      </c>
      <c r="BA4" s="223" t="inlineStr">
        <is>
          <t>TIPA 302FG</t>
        </is>
      </c>
      <c r="BB4" s="224" t="n"/>
    </row>
    <row r="5" ht="27" customHeight="1" s="430">
      <c r="A5" s="22">
        <f>AO4</f>
        <v/>
      </c>
      <c r="B5" s="22">
        <f>AO5</f>
        <v/>
      </c>
      <c r="C5" s="22">
        <f>AO6</f>
        <v/>
      </c>
      <c r="D5" s="27">
        <f>AO7</f>
        <v/>
      </c>
      <c r="E5" s="561">
        <f>IF(OR(A5="",A5="-"),"",IF(AND(G5&lt;&gt;"",H5&lt;&gt;""),G5*H5,""))</f>
        <v/>
      </c>
      <c r="F5" s="573">
        <f>IF($AO$22="By Length", $AO$23*H5, $AO$8)</f>
        <v/>
      </c>
      <c r="G5" s="213">
        <f>AO9</f>
        <v/>
      </c>
      <c r="H5" s="563">
        <f>IF(OR(A5="",A5="-"),"",IF(AND(B5&lt;&gt;"",C5&lt;&gt;"",D5&lt;&gt;""),D5*(C5/1000)*(B5/1000),""))</f>
        <v/>
      </c>
      <c r="I5" s="561">
        <f>IF(OR(A5="",A5="-"),"",IF(F5&lt;&gt;"",F5,IF(AND(G5&lt;&gt;"",H5&lt;&gt;""),G5*H5,"")))</f>
        <v/>
      </c>
      <c r="J5" s="565">
        <f>AO10</f>
        <v/>
      </c>
      <c r="K5" s="26" t="n">
        <v>1.22</v>
      </c>
      <c r="L5" s="27">
        <f>IFERROR(VLOOKUP(A5,BOM!$Q$2:$R$50,2,FALSE),0)</f>
        <v/>
      </c>
      <c r="M5" s="565">
        <f>IFERROR((L5+K5),0)</f>
        <v/>
      </c>
      <c r="N5" s="566">
        <f>IF(OR(I5="",I5=0),"",VLOOKUP(I5,HELPER!$AM$2:$AN$6,2,TRUE))</f>
        <v/>
      </c>
      <c r="O5" s="565">
        <f>IF(AND(M5&lt;&gt;"",N5&lt;&gt;""),M5*(1+N5),"")</f>
        <v/>
      </c>
      <c r="P5" s="565">
        <f>IF(AND(Table1[[#This Row],[Thickness (µ)]]&lt;&gt;"",Table1[[#This Row],[RM cost in 1 Kg]]&lt;&gt;""), VLOOKUP(Table1[[#This Row],[Thickness (µ)]], HELPER!$BH$3:$BI$5, 2, TRUE) * Table1[[#This Row],[RM cost in 1 Kg]], "")</f>
        <v/>
      </c>
      <c r="Q5" s="96" t="n">
        <v>0</v>
      </c>
      <c r="R5" s="428">
        <f>$AO$14</f>
        <v/>
      </c>
      <c r="S5" s="428">
        <f t="array" ref="S5">IF(OR(AO12="Not Printed",AO13=0,AO13="0"),0,_xlfn.LET(_xlpm.len,AO9,_xlpm.colors,AO13,_xlpm.colNum,IF(_xlpm.len&lt;3000,1,IF(_xlpm.len&lt;10000,2,IF(_xlpm.len&lt;25000,3,IF(_xlpm.len&lt;50000,4,IF(_xlpm.len&lt;100000,5,IF(_xlpm.len&lt;250000,6,IF(_xlpm.len&lt;500000,7,8))))))),_xlpm.widthRow,IF(AO5&lt;=760,0,5),_xlpm.colorOffset,IF(OR(_xlpm.colors=1,_xlpm.colors=2,_xlpm.colors="1-2"),1,IF(OR(_xlpm.colors=3,_xlpm.colors=4,_xlpm.colors="3-4"),2,IF(OR(_xlpm.colors&gt;=5,_xlpm.colors="5-6",_xlpm.colors="5-8"),3,0))),_xlpm.supplierRow,IF(AO14="Marma",3,IF(AO14="Bastin",13,0)),IF(OR(_xlpm.supplierRow=0,_xlpm.colorOffset=0),0,INDEX('Lmntn &amp; Prntng- Marma &amp; Bastin '!$D:$K,_xlpm.supplierRow+_xlpm.widthRow+_xlpm.colorOffset,_xlpm.colNum))))</f>
        <v/>
      </c>
      <c r="T5" s="96">
        <f>IF($AO$12="Printed",$L5*0.028,0)</f>
        <v/>
      </c>
      <c r="U5" s="23">
        <f>IF(Table1[[#This Row],[RM cost in 1 Kg]]&gt;0,((1500+3000)/30000),0)</f>
        <v/>
      </c>
      <c r="V5" s="23">
        <f>AO11</f>
        <v/>
      </c>
      <c r="W5" s="23">
        <f>IFERROR(IF(V5="Europe to Canada",IF(I5&lt;1000,(I5/1000)*VLOOKUP(1000,HELPER!$AG$4:$AH$8,2,FALSE)/I5,VLOOKUP(I5,HELPER!$AG$4:$AH$8,2,TRUE)/I5),VLOOKUP(V5,HELPER!$AF$2:$AH$3,3,FALSE)),0)</f>
        <v/>
      </c>
      <c r="X5" s="567">
        <f>IFERROR((Table1[[#This Row],[Total Cost and depreciation]]+Table1[[#This Row],[Thickness waste]]+Table1[[#This Row],[Other costs]]+Table1[[#This Row],[Setup]]+Table1[[#This Row],[Shiping cost]]+Table1[[#This Row],[Printing Waste]]+(Table1[[#This Row],[Printing]]*Table1[[#This Row],[Length (Mr)]]/Table1[[#This Row],[Weight Override]])),0)</f>
        <v/>
      </c>
      <c r="Y5" s="63">
        <f>Table1[[#This Row],[Total Cost]]*($W$1)</f>
        <v/>
      </c>
      <c r="Z5" s="567">
        <f>Table1[[#This Row],[Total Cost]]+Table1[[#This Row],[Margin]]</f>
        <v/>
      </c>
      <c r="AF5" s="225" t="inlineStr">
        <is>
          <t>📐 Width</t>
        </is>
      </c>
      <c r="AG5" s="214" t="n">
        <v>1800</v>
      </c>
      <c r="AH5" s="226" t="inlineStr">
        <is>
          <t>mm</t>
        </is>
      </c>
      <c r="AJ5" s="225" t="inlineStr">
        <is>
          <t>📐 Width</t>
        </is>
      </c>
      <c r="AK5" s="214" t="n">
        <v>406</v>
      </c>
      <c r="AL5" s="226" t="inlineStr">
        <is>
          <t>mm</t>
        </is>
      </c>
      <c r="AN5" s="225" t="inlineStr">
        <is>
          <t>📐 Width</t>
        </is>
      </c>
      <c r="AO5" s="214" t="n">
        <v>406</v>
      </c>
      <c r="AP5" s="226" t="inlineStr">
        <is>
          <t>mm</t>
        </is>
      </c>
      <c r="AR5" s="225" t="inlineStr">
        <is>
          <t>📐 Width</t>
        </is>
      </c>
      <c r="AS5" s="214" t="n">
        <v>406</v>
      </c>
      <c r="AT5" s="226" t="inlineStr">
        <is>
          <t>mm</t>
        </is>
      </c>
      <c r="AV5" s="225" t="inlineStr">
        <is>
          <t>📐 Width</t>
        </is>
      </c>
      <c r="AW5" s="214" t="n">
        <v>406</v>
      </c>
      <c r="AX5" s="226" t="inlineStr">
        <is>
          <t>mm</t>
        </is>
      </c>
      <c r="AZ5" s="225" t="inlineStr">
        <is>
          <t>📐 Width</t>
        </is>
      </c>
      <c r="BA5" s="214" t="n">
        <v>406</v>
      </c>
      <c r="BB5" s="226" t="inlineStr">
        <is>
          <t>mm</t>
        </is>
      </c>
    </row>
    <row r="6" ht="27" customHeight="1" s="430">
      <c r="A6" s="51">
        <f>AS4</f>
        <v/>
      </c>
      <c r="B6" s="51">
        <f>AS5</f>
        <v/>
      </c>
      <c r="C6" s="51">
        <f>AS6</f>
        <v/>
      </c>
      <c r="D6" s="32">
        <f>AS7</f>
        <v/>
      </c>
      <c r="E6" s="569">
        <f>IF(OR(A6="",A6="-"),"",IF(AND(G6&lt;&gt;"",H6&lt;&gt;""),G6*H6,""))</f>
        <v/>
      </c>
      <c r="F6" s="570">
        <f>IF($AS$22="By Length", $AS$23*H6, $AS$8)</f>
        <v/>
      </c>
      <c r="G6" s="212">
        <f>AS9</f>
        <v/>
      </c>
      <c r="H6" s="571">
        <f>IF(OR(A6="",A6="-"),"",IF(AND(B6&lt;&gt;"",C6&lt;&gt;"",D6&lt;&gt;""),D6*(C6/1000)*(B6/1000),""))</f>
        <v/>
      </c>
      <c r="I6" s="569">
        <f>IF(OR(A6="",A6="-"),"",IF(F6&lt;&gt;"",F6,IF(AND(G6&lt;&gt;"",H6&lt;&gt;""),G6*H6,"")))</f>
        <v/>
      </c>
      <c r="J6" s="572">
        <f>AS10</f>
        <v/>
      </c>
      <c r="K6" s="31" t="n">
        <v>1.22</v>
      </c>
      <c r="L6" s="32">
        <f>IFERROR(VLOOKUP(A6,BOM!$Q$2:$R$50,2,FALSE),0)</f>
        <v/>
      </c>
      <c r="M6" s="572">
        <f>IFERROR((L6+K6),0)</f>
        <v/>
      </c>
      <c r="N6" s="566">
        <f>IF(OR(I6="",I6=0),"",VLOOKUP(I6,HELPER!$AM$2:$AN$6,2,TRUE))</f>
        <v/>
      </c>
      <c r="O6" s="572">
        <f>IF(AND(M6&lt;&gt;"",N6&lt;&gt;""),M6*(1+N6),"")</f>
        <v/>
      </c>
      <c r="P6" s="572">
        <f>IF(AND(Table1[[#This Row],[Thickness (µ)]]&lt;&gt;"",Table1[[#This Row],[RM cost in 1 Kg]]&lt;&gt;""), VLOOKUP(Table1[[#This Row],[Thickness (µ)]], HELPER!$BH$3:$BI$5, 2, TRUE) * Table1[[#This Row],[RM cost in 1 Kg]], "")</f>
        <v/>
      </c>
      <c r="Q6" s="97" t="n">
        <v>0</v>
      </c>
      <c r="R6" s="427">
        <f>$AS$14</f>
        <v/>
      </c>
      <c r="S6" s="427">
        <f t="array" ref="S6">IF(OR(AS12="Not Printed",AS13=0,AS13="0"),0,_xlfn.LET(_xlpm.len,AS9,_xlpm.colors,AS13,_xlpm.colNum,IF(_xlpm.len&lt;3000,1,IF(_xlpm.len&lt;10000,2,IF(_xlpm.len&lt;25000,3,IF(_xlpm.len&lt;50000,4,IF(_xlpm.len&lt;100000,5,IF(_xlpm.len&lt;250000,6,IF(_xlpm.len&lt;500000,7,8))))))),_xlpm.widthRow,IF(AS5&lt;=760,0,5),_xlpm.colorOffset,IF(OR(_xlpm.colors=1,_xlpm.colors=2,_xlpm.colors="1-2"),1,IF(OR(_xlpm.colors=3,_xlpm.colors=4,_xlpm.colors="3-4"),2,IF(OR(_xlpm.colors&gt;=5,_xlpm.colors="5-6",_xlpm.colors="5-8"),3,0))),_xlpm.supplierRow,IF(AS14="Marma",3,IF(AS14="Bastin",13,0)),IF(OR(_xlpm.supplierRow=0,_xlpm.colorOffset=0),0,INDEX('Lmntn &amp; Prntng- Marma &amp; Bastin '!$D:$K,_xlpm.supplierRow+_xlpm.widthRow+_xlpm.colorOffset,_xlpm.colNum))))</f>
        <v/>
      </c>
      <c r="T6" s="97">
        <f>IF($AS$12="Printed",$L6*0.028,0)</f>
        <v/>
      </c>
      <c r="U6" s="28">
        <f>IF(Table1[[#This Row],[RM cost in 1 Kg]]&gt;0,((1500+3000)/30000),0)</f>
        <v/>
      </c>
      <c r="V6" s="28">
        <f>AS11</f>
        <v/>
      </c>
      <c r="W6" s="28">
        <f>IFERROR(IF(V6="Europe to Canada",IF(I6&lt;1000,(I6/1000)*VLOOKUP(1000,HELPER!$AG$4:$AH$8,2,FALSE)/I6,VLOOKUP(I6,HELPER!$AG$4:$AH$8,2,TRUE)/I6),VLOOKUP(V6,HELPER!$AF$2:$AH$3,3,FALSE)),0)</f>
        <v/>
      </c>
      <c r="X6" s="567">
        <f>IFERROR((Table1[[#This Row],[Total Cost and depreciation]]+Table1[[#This Row],[Thickness waste]]+Table1[[#This Row],[Other costs]]+Table1[[#This Row],[Setup]]+Table1[[#This Row],[Shiping cost]]+Table1[[#This Row],[Printing Waste]]+(Table1[[#This Row],[Printing]]*Table1[[#This Row],[Length (Mr)]]/Table1[[#This Row],[Weight Override]])),0)</f>
        <v/>
      </c>
      <c r="Y6" s="63">
        <f>Table1[[#This Row],[Total Cost]]*($W$1)</f>
        <v/>
      </c>
      <c r="Z6" s="567">
        <f>Table1[[#This Row],[Total Cost]]+Table1[[#This Row],[Margin]]</f>
        <v/>
      </c>
      <c r="AF6" s="225" t="inlineStr">
        <is>
          <t>📏 Thickness</t>
        </is>
      </c>
      <c r="AG6" s="214" t="n">
        <v>20</v>
      </c>
      <c r="AH6" s="226" t="inlineStr">
        <is>
          <t>µ</t>
        </is>
      </c>
      <c r="AJ6" s="225" t="inlineStr">
        <is>
          <t>📏 Thickness</t>
        </is>
      </c>
      <c r="AK6" s="214" t="n">
        <v>20</v>
      </c>
      <c r="AL6" s="226" t="inlineStr">
        <is>
          <t>µ</t>
        </is>
      </c>
      <c r="AN6" s="225" t="inlineStr">
        <is>
          <t>📏 Thickness</t>
        </is>
      </c>
      <c r="AO6" s="214" t="n">
        <v>20</v>
      </c>
      <c r="AP6" s="226" t="inlineStr">
        <is>
          <t>µ</t>
        </is>
      </c>
      <c r="AR6" s="225" t="inlineStr">
        <is>
          <t>📏 Thickness</t>
        </is>
      </c>
      <c r="AS6" s="214" t="n">
        <v>20</v>
      </c>
      <c r="AT6" s="226" t="inlineStr">
        <is>
          <t>µ</t>
        </is>
      </c>
      <c r="AV6" s="225" t="inlineStr">
        <is>
          <t>📏 Thickness</t>
        </is>
      </c>
      <c r="AW6" s="214" t="n">
        <v>20</v>
      </c>
      <c r="AX6" s="226" t="inlineStr">
        <is>
          <t>µ</t>
        </is>
      </c>
      <c r="AZ6" s="225" t="inlineStr">
        <is>
          <t>📏 Thickness</t>
        </is>
      </c>
      <c r="BA6" s="214" t="n">
        <v>20</v>
      </c>
      <c r="BB6" s="226" t="inlineStr">
        <is>
          <t>µ</t>
        </is>
      </c>
    </row>
    <row r="7" ht="27" customHeight="1" s="430">
      <c r="A7" s="22">
        <f>AW4</f>
        <v/>
      </c>
      <c r="B7" s="22">
        <f>AW5</f>
        <v/>
      </c>
      <c r="C7" s="22">
        <f>AW6</f>
        <v/>
      </c>
      <c r="D7" s="419">
        <f>AW7</f>
        <v/>
      </c>
      <c r="E7" s="561">
        <f>IF(OR(A7="",A7="-"),"",IF(AND(G7&lt;&gt;"",H7&lt;&gt;""),G7*H7,""))</f>
        <v/>
      </c>
      <c r="F7" s="573">
        <f>IF($AW$22="By Length", $AW$23*H7, $AW$8)</f>
        <v/>
      </c>
      <c r="G7" s="213">
        <f>AW9</f>
        <v/>
      </c>
      <c r="H7" s="563">
        <f>IF(OR(A7="",A7="-"),"",IF(AND(B7&lt;&gt;"",C7&lt;&gt;"",D7&lt;&gt;""),D7*(C7/1000)*(B7/1000),""))</f>
        <v/>
      </c>
      <c r="I7" s="561">
        <f>IF(OR(A7="",A7="-"),"",IF(F7&lt;&gt;"",F7,IF(AND(G7&lt;&gt;"",H7&lt;&gt;""),G7*H7,"")))</f>
        <v/>
      </c>
      <c r="J7" s="565">
        <f>AW10</f>
        <v/>
      </c>
      <c r="K7" s="26" t="n">
        <v>1.22</v>
      </c>
      <c r="L7" s="27">
        <f>IFERROR(VLOOKUP(A7,BOM!$Q$2:$R$50,2,FALSE),0)</f>
        <v/>
      </c>
      <c r="M7" s="565">
        <f>IFERROR((L7+K7),0)</f>
        <v/>
      </c>
      <c r="N7" s="566">
        <f>IF(OR(I7="",I7=0),"",VLOOKUP(I7,HELPER!$AM$2:$AN$6,2,TRUE))</f>
        <v/>
      </c>
      <c r="O7" s="565">
        <f>IF(AND(M7&lt;&gt;"",N7&lt;&gt;""),M7*(1+N7),"")</f>
        <v/>
      </c>
      <c r="P7" s="565">
        <f>IF(AND(Table1[[#This Row],[Thickness (µ)]]&lt;&gt;"",Table1[[#This Row],[RM cost in 1 Kg]]&lt;&gt;""), VLOOKUP(Table1[[#This Row],[Thickness (µ)]], HELPER!$BH$3:$BI$5, 2, TRUE) * Table1[[#This Row],[RM cost in 1 Kg]], "")</f>
        <v/>
      </c>
      <c r="Q7" s="96" t="n">
        <v>0</v>
      </c>
      <c r="R7" s="428">
        <f>$AW$14</f>
        <v/>
      </c>
      <c r="S7" s="428">
        <f t="array" ref="S7">IF(OR(AW12="Not Printed",AW13=0,AW13="0"),0,_xlfn.LET(_xlpm.len,AW9,_xlpm.colors,AW13,_xlpm.colNum,IF(_xlpm.len&lt;3000,1,IF(_xlpm.len&lt;10000,2,IF(_xlpm.len&lt;25000,3,IF(_xlpm.len&lt;50000,4,IF(_xlpm.len&lt;100000,5,IF(_xlpm.len&lt;250000,6,IF(_xlpm.len&lt;500000,7,8))))))),_xlpm.widthRow,IF(AW5&lt;=760,0,5),_xlpm.colorOffset,IF(OR(_xlpm.colors=1,_xlpm.colors=2,_xlpm.colors="1-2"),1,IF(OR(_xlpm.colors=3,_xlpm.colors=4,_xlpm.colors="3-4"),2,IF(OR(_xlpm.colors&gt;=5,_xlpm.colors="5-6",_xlpm.colors="5-8"),3,0))),_xlpm.supplierRow,IF(AW14="Marma",3,IF(AW14="Bastin",13,0)),IF(OR(_xlpm.supplierRow=0,_xlpm.colorOffset=0),0,INDEX('Lmntn &amp; Prntng- Marma &amp; Bastin '!$D:$K,_xlpm.supplierRow+_xlpm.widthRow+_xlpm.colorOffset,_xlpm.colNum))))</f>
        <v/>
      </c>
      <c r="T7" s="96">
        <f>IF($AW$12="Printed",$L7*0.028,0)</f>
        <v/>
      </c>
      <c r="U7" s="23">
        <f>IF(Table1[[#This Row],[RM cost in 1 Kg]]&gt;0,((1500+3000)/30000),0)</f>
        <v/>
      </c>
      <c r="V7" s="23">
        <f>AW11</f>
        <v/>
      </c>
      <c r="W7" s="23">
        <f>IFERROR(IF(V7="Europe to Canada",IF(I7&lt;1000,(I7/1000)*VLOOKUP(1000,HELPER!$AG$4:$AH$8,2,FALSE)/I7,VLOOKUP(I7,HELPER!$AG$4:$AH$8,2,TRUE)/I7),VLOOKUP(V7,HELPER!$AF$2:$AH$3,3,FALSE)),0)</f>
        <v/>
      </c>
      <c r="X7" s="567">
        <f>IFERROR((Table1[[#This Row],[Total Cost and depreciation]]+Table1[[#This Row],[Thickness waste]]+Table1[[#This Row],[Other costs]]+Table1[[#This Row],[Setup]]+Table1[[#This Row],[Shiping cost]]+Table1[[#This Row],[Printing Waste]]+(Table1[[#This Row],[Printing]]*Table1[[#This Row],[Length (Mr)]]/Table1[[#This Row],[Weight Override]])),0)</f>
        <v/>
      </c>
      <c r="Y7" s="63">
        <f>Table1[[#This Row],[Total Cost]]*($W$1)</f>
        <v/>
      </c>
      <c r="Z7" s="567">
        <f>Table1[[#This Row],[Total Cost]]+Table1[[#This Row],[Margin]]</f>
        <v/>
      </c>
      <c r="AF7" s="225" t="inlineStr">
        <is>
          <t>⚖️ Density</t>
        </is>
      </c>
      <c r="AG7" s="214" t="n">
        <v>1.25</v>
      </c>
      <c r="AH7" s="226" t="inlineStr">
        <is>
          <t>g/cm³</t>
        </is>
      </c>
      <c r="AJ7" s="225" t="inlineStr">
        <is>
          <t>⚖️ Density</t>
        </is>
      </c>
      <c r="AK7" s="214" t="n">
        <v>1.25</v>
      </c>
      <c r="AL7" s="226" t="inlineStr">
        <is>
          <t>g/cm³</t>
        </is>
      </c>
      <c r="AN7" s="225" t="inlineStr">
        <is>
          <t>⚖️ Density</t>
        </is>
      </c>
      <c r="AO7" s="214" t="n">
        <v>1.25</v>
      </c>
      <c r="AP7" s="226" t="inlineStr">
        <is>
          <t>g/cm³</t>
        </is>
      </c>
      <c r="AR7" s="225" t="inlineStr">
        <is>
          <t>⚖️ Density</t>
        </is>
      </c>
      <c r="AS7" s="214" t="n">
        <v>1.25</v>
      </c>
      <c r="AT7" s="226" t="inlineStr">
        <is>
          <t>g/cm³</t>
        </is>
      </c>
      <c r="AV7" s="225" t="inlineStr">
        <is>
          <t>⚖️ Density</t>
        </is>
      </c>
      <c r="AW7" s="214" t="n">
        <v>1.25</v>
      </c>
      <c r="AX7" s="226" t="inlineStr">
        <is>
          <t>g/cm³</t>
        </is>
      </c>
      <c r="AZ7" s="225" t="inlineStr">
        <is>
          <t>⚖️ Density</t>
        </is>
      </c>
      <c r="BA7" s="214" t="n">
        <v>1.25</v>
      </c>
      <c r="BB7" s="226" t="inlineStr">
        <is>
          <t>g/cm³</t>
        </is>
      </c>
    </row>
    <row r="8" ht="27" customHeight="1" s="430">
      <c r="A8" s="51">
        <f>BA4</f>
        <v/>
      </c>
      <c r="B8" s="51">
        <f>BA5</f>
        <v/>
      </c>
      <c r="C8" s="51">
        <f>BA6</f>
        <v/>
      </c>
      <c r="D8" s="32">
        <f>BA7</f>
        <v/>
      </c>
      <c r="E8" s="569">
        <f>IF(OR(A8="",A8="-"),"",IF(AND(G8&lt;&gt;"",H8&lt;&gt;""),G8*H8,""))</f>
        <v/>
      </c>
      <c r="F8" s="570">
        <f>IF($BA$22="By Length", $BA$23*H8, $BA$8)</f>
        <v/>
      </c>
      <c r="G8" s="212">
        <f>BA9</f>
        <v/>
      </c>
      <c r="H8" s="571">
        <f>IF(OR(A8="",A8="-"),"",IF(AND(B8&lt;&gt;"",C8&lt;&gt;"",D8&lt;&gt;""),D8*(C8/1000)*(B8/1000),""))</f>
        <v/>
      </c>
      <c r="I8" s="569">
        <f>IF(OR(A8="",A8="-"),"",IF(F8&lt;&gt;"",F8,IF(AND(G8&lt;&gt;"",H8&lt;&gt;""),G8*H8,"")))</f>
        <v/>
      </c>
      <c r="J8" s="572">
        <f>BA10</f>
        <v/>
      </c>
      <c r="K8" s="31" t="n">
        <v>1.22</v>
      </c>
      <c r="L8" s="32">
        <f>IFERROR(VLOOKUP(A8,BOM!$Q$2:$R$50,2,FALSE),0)</f>
        <v/>
      </c>
      <c r="M8" s="572">
        <f>IFERROR((L8+K8),0)</f>
        <v/>
      </c>
      <c r="N8" s="566">
        <f>IF(OR(I8="",I8=0),"",VLOOKUP(I8,HELPER!$AM$2:$AN$6,2,TRUE))</f>
        <v/>
      </c>
      <c r="O8" s="572">
        <f>IF(AND(M8&lt;&gt;"",N8&lt;&gt;""),M8*(1+N8),"")</f>
        <v/>
      </c>
      <c r="P8" s="572">
        <f>IF(AND(Table1[[#This Row],[Thickness (µ)]]&lt;&gt;"",Table1[[#This Row],[RM cost in 1 Kg]]&lt;&gt;""), VLOOKUP(Table1[[#This Row],[Thickness (µ)]], HELPER!$BH$3:$BI$5, 2, TRUE) * Table1[[#This Row],[RM cost in 1 Kg]], "")</f>
        <v/>
      </c>
      <c r="Q8" s="97" t="n">
        <v>0</v>
      </c>
      <c r="R8" s="427">
        <f>$BA$14</f>
        <v/>
      </c>
      <c r="S8" s="427">
        <f t="array" ref="S8">IF(OR(BA12="Not Printed",BA13=0,BA13="0"),0,_xlfn.LET(_xlpm.len,BA9,_xlpm.colors,BA13,_xlpm.colNum,IF(_xlpm.len&lt;3000,1,IF(_xlpm.len&lt;10000,2,IF(_xlpm.len&lt;25000,3,IF(_xlpm.len&lt;50000,4,IF(_xlpm.len&lt;100000,5,IF(_xlpm.len&lt;250000,6,IF(_xlpm.len&lt;500000,7,8))))))),_xlpm.widthRow,IF(BA5&lt;=760,0,5),_xlpm.colorOffset,IF(OR(_xlpm.colors=1,_xlpm.colors=2,_xlpm.colors="1-2"),1,IF(OR(_xlpm.colors=3,_xlpm.colors=4,_xlpm.colors="3-4"),2,IF(OR(_xlpm.colors&gt;=5,_xlpm.colors="5-6",_xlpm.colors="5-8"),3,0))),_xlpm.supplierRow,IF(BA14="Marma",3,IF(BA14="Bastin",13,0)),IF(OR(_xlpm.supplierRow=0,_xlpm.colorOffset=0),0,INDEX('Lmntn &amp; Prntng- Marma &amp; Bastin '!$D:$K,_xlpm.supplierRow+_xlpm.widthRow+_xlpm.colorOffset,_xlpm.colNum))))</f>
        <v/>
      </c>
      <c r="T8" s="97">
        <f>IF($BA$12="Printed",$L8*0.028,0)</f>
        <v/>
      </c>
      <c r="U8" s="28">
        <f>IF(Table1[[#This Row],[RM cost in 1 Kg]]&gt;0,((1500+3000)/30000),0)</f>
        <v/>
      </c>
      <c r="V8" s="28">
        <f>BA11</f>
        <v/>
      </c>
      <c r="W8" s="28">
        <f>IFERROR(IF(V8="Europe to Canada",IF(I8&lt;1000,(I8/1000)*VLOOKUP(1000,HELPER!$AG$4:$AH$8,2,FALSE)/I8,VLOOKUP(I8,HELPER!$AG$4:$AH$8,2,TRUE)/I8),VLOOKUP(V8,HELPER!$AF$2:$AH$3,3,FALSE)),0)</f>
        <v/>
      </c>
      <c r="X8" s="567">
        <f>IFERROR((Table1[[#This Row],[Total Cost and depreciation]]+Table1[[#This Row],[Thickness waste]]+Table1[[#This Row],[Other costs]]+Table1[[#This Row],[Setup]]+Table1[[#This Row],[Shiping cost]]+Table1[[#This Row],[Printing Waste]]+(Table1[[#This Row],[Printing]]*Table1[[#This Row],[Length (Mr)]]/Table1[[#This Row],[Weight Override]])),0)</f>
        <v/>
      </c>
      <c r="Y8" s="63">
        <f>Table1[[#This Row],[Total Cost]]*($W$1)</f>
        <v/>
      </c>
      <c r="Z8" s="567">
        <f>Table1[[#This Row],[Total Cost]]+Table1[[#This Row],[Margin]]</f>
        <v/>
      </c>
      <c r="AF8" s="225" t="inlineStr">
        <is>
          <t>📦 Weight</t>
        </is>
      </c>
      <c r="AG8" s="214" t="n">
        <v>500</v>
      </c>
      <c r="AH8" s="226" t="inlineStr">
        <is>
          <t>Kg</t>
        </is>
      </c>
      <c r="AJ8" s="225" t="inlineStr">
        <is>
          <t>📦 Weight</t>
        </is>
      </c>
      <c r="AK8" s="214" t="n">
        <v>1000</v>
      </c>
      <c r="AL8" s="226" t="inlineStr">
        <is>
          <t>Kg</t>
        </is>
      </c>
      <c r="AN8" s="225" t="inlineStr">
        <is>
          <t>📦 Weight</t>
        </is>
      </c>
      <c r="AO8" s="214" t="n">
        <v>2000</v>
      </c>
      <c r="AP8" s="226" t="inlineStr">
        <is>
          <t>Kg</t>
        </is>
      </c>
      <c r="AR8" s="225" t="inlineStr">
        <is>
          <t>📦 Weight</t>
        </is>
      </c>
      <c r="AS8" s="214" t="n">
        <v>3000</v>
      </c>
      <c r="AT8" s="226" t="inlineStr">
        <is>
          <t>Kg</t>
        </is>
      </c>
      <c r="AV8" s="225" t="inlineStr">
        <is>
          <t>📦 Weight</t>
        </is>
      </c>
      <c r="AW8" s="214" t="n">
        <v>4000</v>
      </c>
      <c r="AX8" s="226" t="inlineStr">
        <is>
          <t>Kg</t>
        </is>
      </c>
      <c r="AZ8" s="225" t="inlineStr">
        <is>
          <t>📦 Weight</t>
        </is>
      </c>
      <c r="BA8" s="214" t="n">
        <v>5000</v>
      </c>
      <c r="BB8" s="226" t="inlineStr">
        <is>
          <t>Kg</t>
        </is>
      </c>
    </row>
    <row r="9" ht="27" customHeight="1" s="430">
      <c r="A9" s="574" t="n"/>
      <c r="B9" s="574" t="n"/>
      <c r="C9" s="574" t="n"/>
      <c r="D9" s="574" t="n"/>
      <c r="E9" s="574" t="n"/>
      <c r="F9" s="574" t="n"/>
      <c r="G9" s="574" t="n"/>
      <c r="H9" s="574" t="n"/>
      <c r="I9" s="574" t="n"/>
      <c r="J9" s="575" t="n"/>
      <c r="L9" s="63" t="n"/>
      <c r="M9" s="83" t="n"/>
      <c r="N9" s="5" t="n"/>
      <c r="O9" s="83" t="n"/>
      <c r="AF9" s="225" t="inlineStr">
        <is>
          <t>📏 Length</t>
        </is>
      </c>
      <c r="AG9" s="230">
        <f>IF(AG22="By Length", IF(AG23="",0,AG23), IFERROR(AG8/H4,0))</f>
        <v/>
      </c>
      <c r="AH9" s="226" t="inlineStr">
        <is>
          <t>Mr</t>
        </is>
      </c>
      <c r="AJ9" s="225" t="inlineStr">
        <is>
          <t>📏 Length</t>
        </is>
      </c>
      <c r="AK9" s="230">
        <f>IF(AK22="By Length", IF(AK23="",0,AK23), IFERROR(AK8/H5,0))</f>
        <v/>
      </c>
      <c r="AL9" s="226" t="inlineStr">
        <is>
          <t>Mr</t>
        </is>
      </c>
      <c r="AN9" s="225" t="inlineStr">
        <is>
          <t>📏 Length</t>
        </is>
      </c>
      <c r="AO9" s="230">
        <f>IF(AO22="By Length", IF(AO23="",0,AO23), IFERROR(AO8/H6,0))</f>
        <v/>
      </c>
      <c r="AP9" s="226" t="inlineStr">
        <is>
          <t>Mr</t>
        </is>
      </c>
      <c r="AR9" s="225" t="inlineStr">
        <is>
          <t>📏 Length</t>
        </is>
      </c>
      <c r="AS9" s="230">
        <f>IF(AS22="By Length", IF(AS23="",0,AS23), IFERROR(AS8/H7,0))</f>
        <v/>
      </c>
      <c r="AT9" s="226" t="inlineStr">
        <is>
          <t>Mr</t>
        </is>
      </c>
      <c r="AV9" s="225" t="inlineStr">
        <is>
          <t>📏 Length</t>
        </is>
      </c>
      <c r="AW9" s="230">
        <f>IF(AW22="By Length", IF(AW23="",0,AW23), IFERROR(AW8/H8,0))</f>
        <v/>
      </c>
      <c r="AX9" s="226" t="inlineStr">
        <is>
          <t>Mr</t>
        </is>
      </c>
      <c r="AZ9" s="225" t="inlineStr">
        <is>
          <t>📏 Length</t>
        </is>
      </c>
      <c r="BA9" s="230">
        <f>IF(BA22="By Length", IF(BA23="",0,BA23), IFERROR(BA8/#REF!,0))</f>
        <v/>
      </c>
      <c r="BB9" s="226" t="inlineStr">
        <is>
          <t>Mr</t>
        </is>
      </c>
    </row>
    <row r="10" ht="27" customHeight="1" s="430">
      <c r="A10" s="574" t="n"/>
      <c r="B10" s="574" t="n"/>
      <c r="C10" s="574" t="n"/>
      <c r="D10" s="574" t="n"/>
      <c r="E10" s="574" t="n"/>
      <c r="F10" s="574" t="n"/>
      <c r="G10" s="574" t="n"/>
      <c r="H10" s="574" t="n"/>
      <c r="I10" s="574" t="n"/>
      <c r="J10" s="575" t="n"/>
      <c r="L10" s="63" t="n"/>
      <c r="M10" s="83" t="n"/>
      <c r="N10" s="5" t="n"/>
      <c r="O10" s="83" t="n"/>
      <c r="AF10" s="225" t="inlineStr">
        <is>
          <t>⏱️ Hourly Rate</t>
        </is>
      </c>
      <c r="AG10" s="230" t="n">
        <v>510</v>
      </c>
      <c r="AH10" s="226" t="inlineStr">
        <is>
          <t>€</t>
        </is>
      </c>
      <c r="AJ10" s="225" t="inlineStr">
        <is>
          <t>⏱️ Hourly Rate</t>
        </is>
      </c>
      <c r="AK10" s="214" t="n">
        <v>510</v>
      </c>
      <c r="AL10" s="226" t="inlineStr">
        <is>
          <t>€</t>
        </is>
      </c>
      <c r="AN10" s="225" t="inlineStr">
        <is>
          <t>⏱️ Hourly Rate</t>
        </is>
      </c>
      <c r="AO10" s="214" t="n">
        <v>510</v>
      </c>
      <c r="AP10" s="226" t="inlineStr">
        <is>
          <t>€</t>
        </is>
      </c>
      <c r="AR10" s="225" t="inlineStr">
        <is>
          <t>⏱️ Hourly Rate</t>
        </is>
      </c>
      <c r="AS10" s="214" t="n">
        <v>510</v>
      </c>
      <c r="AT10" s="226" t="inlineStr">
        <is>
          <t>€</t>
        </is>
      </c>
      <c r="AV10" s="225" t="inlineStr">
        <is>
          <t>⏱️ Hourly Rate</t>
        </is>
      </c>
      <c r="AW10" s="214" t="n">
        <v>510</v>
      </c>
      <c r="AX10" s="226" t="inlineStr">
        <is>
          <t>€</t>
        </is>
      </c>
      <c r="AZ10" s="225" t="inlineStr">
        <is>
          <t>⏱️ Hourly Rate</t>
        </is>
      </c>
      <c r="BA10" s="214" t="n">
        <v>0.15</v>
      </c>
      <c r="BB10" s="226" t="inlineStr">
        <is>
          <t>€</t>
        </is>
      </c>
    </row>
    <row r="11" ht="27" customHeight="1" s="430">
      <c r="A11" s="574" t="n"/>
      <c r="B11" s="574" t="n"/>
      <c r="C11" s="574" t="n"/>
      <c r="D11" s="574" t="n"/>
      <c r="E11" s="574" t="n"/>
      <c r="F11" s="574" t="n"/>
      <c r="G11" s="574" t="n"/>
      <c r="H11" s="574" t="n"/>
      <c r="I11" s="574" t="n"/>
      <c r="J11" s="575" t="n"/>
      <c r="L11" s="63" t="n"/>
      <c r="M11" s="83" t="n"/>
      <c r="N11" s="5" t="n"/>
      <c r="O11" s="83" t="n"/>
      <c r="AF11" s="227" t="inlineStr">
        <is>
          <t>🚚 Shipping</t>
        </is>
      </c>
      <c r="AG11" s="215" t="inlineStr">
        <is>
          <t>Europe to US</t>
        </is>
      </c>
      <c r="AH11" s="228" t="n"/>
      <c r="AJ11" s="227" t="inlineStr">
        <is>
          <t>🚚 Shipping</t>
        </is>
      </c>
      <c r="AK11" s="215" t="inlineStr">
        <is>
          <t>Europe to Europe</t>
        </is>
      </c>
      <c r="AL11" s="228" t="n"/>
      <c r="AN11" s="227" t="inlineStr">
        <is>
          <t>🚚 Shipping</t>
        </is>
      </c>
      <c r="AO11" s="215" t="inlineStr">
        <is>
          <t>Europe to US</t>
        </is>
      </c>
      <c r="AP11" s="228" t="n"/>
      <c r="AR11" s="227" t="inlineStr">
        <is>
          <t>🚚 Shipping</t>
        </is>
      </c>
      <c r="AS11" s="215" t="inlineStr">
        <is>
          <t>Europe to Europe</t>
        </is>
      </c>
      <c r="AT11" s="228" t="n"/>
      <c r="AV11" s="227" t="inlineStr">
        <is>
          <t>🚚 Shipping</t>
        </is>
      </c>
      <c r="AW11" s="215" t="inlineStr">
        <is>
          <t>Europe to Canada</t>
        </is>
      </c>
      <c r="AX11" s="228" t="n"/>
      <c r="AZ11" s="227" t="inlineStr">
        <is>
          <t>🚚 Shipping</t>
        </is>
      </c>
      <c r="BA11" s="215" t="inlineStr">
        <is>
          <t>Europe to Canada</t>
        </is>
      </c>
      <c r="BB11" s="228" t="n"/>
    </row>
    <row r="12" ht="27" customHeight="1" s="430">
      <c r="A12" s="574" t="n"/>
      <c r="B12" s="574" t="n"/>
      <c r="C12" s="574" t="n"/>
      <c r="D12" s="574" t="n"/>
      <c r="E12" s="574" t="n"/>
      <c r="F12" s="574" t="n"/>
      <c r="G12" s="574" t="n"/>
      <c r="H12" s="574" t="n"/>
      <c r="I12" s="574" t="n"/>
      <c r="J12" s="575" t="n"/>
      <c r="L12" s="63" t="n"/>
      <c r="M12" s="83" t="n"/>
      <c r="N12" s="5" t="n"/>
      <c r="O12" s="83" t="n"/>
      <c r="AF12" s="423" t="inlineStr">
        <is>
          <t>🖨️ PR/NonPR</t>
        </is>
      </c>
      <c r="AG12" s="215" t="inlineStr">
        <is>
          <t>Not Printed</t>
        </is>
      </c>
      <c r="AH12" s="424" t="n"/>
      <c r="AJ12" s="423" t="inlineStr">
        <is>
          <t>🖨️ PR/NonPR</t>
        </is>
      </c>
      <c r="AK12" s="215" t="inlineStr">
        <is>
          <t>Printed</t>
        </is>
      </c>
      <c r="AL12" s="424" t="n"/>
      <c r="AN12" s="423" t="inlineStr">
        <is>
          <t>🖨️ PR/NonPR</t>
        </is>
      </c>
      <c r="AO12" s="223" t="inlineStr">
        <is>
          <t>Printed</t>
        </is>
      </c>
      <c r="AP12" s="424" t="n"/>
      <c r="AR12" s="423" t="inlineStr">
        <is>
          <t>🖨️ PR/NonPR</t>
        </is>
      </c>
      <c r="AS12" s="223" t="inlineStr">
        <is>
          <t>Printed</t>
        </is>
      </c>
      <c r="AT12" s="424" t="n"/>
      <c r="AV12" s="423" t="inlineStr">
        <is>
          <t>🖨️ PR/NonPR</t>
        </is>
      </c>
      <c r="AW12" s="223" t="inlineStr">
        <is>
          <t>Not Printed</t>
        </is>
      </c>
      <c r="AX12" s="424" t="n"/>
      <c r="AZ12" s="423" t="inlineStr">
        <is>
          <t>🖨️ PR/NonPR</t>
        </is>
      </c>
      <c r="BA12" s="223" t="inlineStr">
        <is>
          <t>Not Printed</t>
        </is>
      </c>
      <c r="BB12" s="424" t="n"/>
    </row>
    <row r="13" ht="27" customHeight="1" s="430">
      <c r="A13" s="574" t="n"/>
      <c r="B13" s="574" t="n"/>
      <c r="C13" s="574" t="n"/>
      <c r="D13" s="574" t="n"/>
      <c r="E13" s="574" t="n"/>
      <c r="F13" s="574" t="n"/>
      <c r="G13" s="574" t="n"/>
      <c r="H13" s="574" t="n"/>
      <c r="I13" s="574" t="n"/>
      <c r="J13" s="575" t="n"/>
      <c r="L13" s="63" t="n"/>
      <c r="M13" s="83" t="n"/>
      <c r="N13" s="5" t="n"/>
      <c r="O13" s="83" t="n"/>
      <c r="AF13" s="423" t="inlineStr">
        <is>
          <t>🎨 No of colors</t>
        </is>
      </c>
      <c r="AG13" s="356" t="inlineStr">
        <is>
          <t>0</t>
        </is>
      </c>
      <c r="AH13" s="424" t="n"/>
      <c r="AJ13" s="423" t="inlineStr">
        <is>
          <t>🎨 No of colors</t>
        </is>
      </c>
      <c r="AK13" s="356" t="inlineStr">
        <is>
          <t>5-8</t>
        </is>
      </c>
      <c r="AL13" s="424" t="n"/>
      <c r="AN13" s="423" t="inlineStr">
        <is>
          <t>🎨 No of colors</t>
        </is>
      </c>
      <c r="AO13" s="356" t="inlineStr">
        <is>
          <t>3-4</t>
        </is>
      </c>
      <c r="AP13" s="424" t="n"/>
      <c r="AR13" s="423" t="inlineStr">
        <is>
          <t>🎨 No of colors</t>
        </is>
      </c>
      <c r="AS13" s="356" t="inlineStr">
        <is>
          <t>5-8</t>
        </is>
      </c>
      <c r="AT13" s="424" t="n"/>
      <c r="AV13" s="423" t="inlineStr">
        <is>
          <t>🎨 No of colors</t>
        </is>
      </c>
      <c r="AW13" s="356" t="inlineStr">
        <is>
          <t>0</t>
        </is>
      </c>
      <c r="AX13" s="424" t="n"/>
      <c r="AZ13" s="423" t="inlineStr">
        <is>
          <t>🎨 No of colors</t>
        </is>
      </c>
      <c r="BA13" s="356" t="inlineStr">
        <is>
          <t>0</t>
        </is>
      </c>
      <c r="BB13" s="424" t="n"/>
    </row>
    <row r="14" ht="27" customHeight="1" s="430">
      <c r="A14" s="574" t="n"/>
      <c r="B14" s="574" t="n"/>
      <c r="C14" s="574" t="n"/>
      <c r="D14" s="574" t="n"/>
      <c r="E14" s="574" t="n"/>
      <c r="F14" s="574" t="n"/>
      <c r="G14" s="574" t="n"/>
      <c r="H14" s="574" t="n"/>
      <c r="I14" s="574" t="n"/>
      <c r="J14" s="575" t="n"/>
      <c r="L14" s="63" t="n"/>
      <c r="M14" s="83" t="n"/>
      <c r="N14" s="5" t="n"/>
      <c r="O14" s="83" t="n"/>
      <c r="AF14" s="423" t="inlineStr">
        <is>
          <t>💼 Supplier</t>
        </is>
      </c>
      <c r="AG14" s="215" t="inlineStr">
        <is>
          <t>Bastin</t>
        </is>
      </c>
      <c r="AH14" s="424" t="n"/>
      <c r="AJ14" s="423" t="inlineStr">
        <is>
          <t>💼 Supplier</t>
        </is>
      </c>
      <c r="AK14" s="215" t="inlineStr">
        <is>
          <t>Bastin</t>
        </is>
      </c>
      <c r="AL14" s="424" t="n"/>
      <c r="AN14" s="423" t="inlineStr">
        <is>
          <t>💼 Supplier</t>
        </is>
      </c>
      <c r="AO14" s="425" t="inlineStr">
        <is>
          <t>Marma</t>
        </is>
      </c>
      <c r="AP14" s="424" t="n"/>
      <c r="AR14" s="423" t="inlineStr">
        <is>
          <t>💼 Supplier</t>
        </is>
      </c>
      <c r="AS14" s="425" t="inlineStr">
        <is>
          <t>Bastin</t>
        </is>
      </c>
      <c r="AT14" s="424" t="n"/>
      <c r="AV14" s="423" t="inlineStr">
        <is>
          <t>💼 Supplier</t>
        </is>
      </c>
      <c r="AW14" s="425" t="inlineStr">
        <is>
          <t>Bastin</t>
        </is>
      </c>
      <c r="AX14" s="424" t="n"/>
      <c r="AZ14" s="423" t="inlineStr">
        <is>
          <t>💼 Supplier</t>
        </is>
      </c>
      <c r="BA14" s="425" t="inlineStr">
        <is>
          <t>Bastin</t>
        </is>
      </c>
      <c r="BB14" s="424" t="n"/>
    </row>
    <row r="15" ht="27.95" customHeight="1" s="430">
      <c r="A15" s="574" t="n"/>
      <c r="B15" s="574" t="n"/>
      <c r="C15" s="574" t="n"/>
      <c r="D15" s="574" t="n"/>
      <c r="E15" s="574" t="n"/>
      <c r="F15" s="574" t="n"/>
      <c r="G15" s="574" t="n"/>
      <c r="H15" s="574" t="n"/>
      <c r="I15" s="574" t="n"/>
      <c r="J15" s="575" t="n"/>
      <c r="L15" s="63" t="n"/>
      <c r="M15" s="83" t="n"/>
      <c r="N15" s="5" t="n"/>
      <c r="O15" s="83" t="n"/>
      <c r="AF15" s="229" t="inlineStr">
        <is>
          <t>💰 Total Cost/Kg</t>
        </is>
      </c>
      <c r="AG15" s="432">
        <f>X3</f>
        <v/>
      </c>
      <c r="AH15" s="568" t="n"/>
      <c r="AJ15" s="229" t="inlineStr">
        <is>
          <t>💰 Total Cost/Kg</t>
        </is>
      </c>
      <c r="AK15" s="432">
        <f>X4</f>
        <v/>
      </c>
      <c r="AL15" s="568" t="n"/>
      <c r="AN15" s="229" t="inlineStr">
        <is>
          <t>💰 Total Cost/Kg</t>
        </is>
      </c>
      <c r="AO15" s="432">
        <f>X5</f>
        <v/>
      </c>
      <c r="AP15" s="568" t="n"/>
      <c r="AR15" s="229" t="inlineStr">
        <is>
          <t>💰 Total Cost/Kg</t>
        </is>
      </c>
      <c r="AS15" s="432">
        <f>X6</f>
        <v/>
      </c>
      <c r="AT15" s="568" t="n"/>
      <c r="AV15" s="229" t="inlineStr">
        <is>
          <t>💰 Total Cost/Kg</t>
        </is>
      </c>
      <c r="AW15" s="432">
        <f>X7</f>
        <v/>
      </c>
      <c r="AX15" s="568" t="n"/>
      <c r="AZ15" s="229" t="inlineStr">
        <is>
          <t>💰 Total Cost/Kg</t>
        </is>
      </c>
      <c r="BA15" s="432">
        <f>IFERROR(X8,0)</f>
        <v/>
      </c>
      <c r="BB15" s="568" t="n"/>
    </row>
    <row r="16">
      <c r="A16" s="574" t="n"/>
      <c r="B16" s="574" t="n"/>
      <c r="C16" s="574" t="n"/>
      <c r="D16" s="574" t="n"/>
      <c r="E16" s="574" t="n"/>
      <c r="F16" s="574" t="n"/>
      <c r="G16" s="574" t="n"/>
      <c r="H16" s="574" t="n"/>
      <c r="I16" s="574" t="n"/>
      <c r="J16" s="575" t="n"/>
      <c r="L16" s="63" t="n"/>
      <c r="M16" s="83" t="n"/>
      <c r="N16" s="5" t="n"/>
      <c r="O16" s="83" t="n"/>
      <c r="AF16" s="576" t="n"/>
      <c r="AH16" s="431" t="n"/>
      <c r="AJ16" s="576" t="n"/>
      <c r="AL16" s="431" t="n"/>
      <c r="AN16" s="576" t="n"/>
      <c r="AP16" s="431" t="n"/>
      <c r="AR16" s="576" t="n"/>
      <c r="AT16" s="431" t="n"/>
      <c r="AV16" s="576" t="n"/>
      <c r="AX16" s="431" t="n"/>
      <c r="AZ16" s="576" t="n"/>
      <c r="BB16" s="431" t="n"/>
    </row>
    <row r="17" ht="26.1" customHeight="1" s="430">
      <c r="A17" s="574" t="n"/>
      <c r="B17" s="574" t="n"/>
      <c r="C17" s="574" t="n"/>
      <c r="D17" s="574" t="n"/>
      <c r="E17" s="574" t="n"/>
      <c r="F17" s="574" t="n"/>
      <c r="G17" s="574" t="n"/>
      <c r="H17" s="574" t="n"/>
      <c r="I17" s="574" t="n"/>
      <c r="J17" s="575" t="n"/>
      <c r="L17" s="63" t="n"/>
      <c r="M17" s="83" t="n"/>
      <c r="N17" s="5" t="n"/>
      <c r="O17" s="83" t="n"/>
      <c r="AF17" s="429" t="inlineStr">
        <is>
          <t>💵 SELL PRICE</t>
        </is>
      </c>
      <c r="AH17" s="568" t="n"/>
      <c r="AJ17" s="429" t="inlineStr">
        <is>
          <t>💵 SELL PRICE</t>
        </is>
      </c>
      <c r="AL17" s="568" t="n"/>
      <c r="AN17" s="429" t="inlineStr">
        <is>
          <t>💵 SELL PRICE</t>
        </is>
      </c>
      <c r="AP17" s="568" t="n"/>
      <c r="AR17" s="429" t="inlineStr">
        <is>
          <t>💵 SELL PRICE</t>
        </is>
      </c>
      <c r="AT17" s="568" t="n"/>
      <c r="AV17" s="429" t="inlineStr">
        <is>
          <t>💵 SELL PRICE</t>
        </is>
      </c>
      <c r="AX17" s="568" t="n"/>
      <c r="AZ17" s="429" t="inlineStr">
        <is>
          <t>💵 SELL PRICE</t>
        </is>
      </c>
      <c r="BB17" s="568" t="n"/>
    </row>
    <row r="18" ht="42" customHeight="1" s="430">
      <c r="A18" s="574" t="n"/>
      <c r="B18" s="574" t="n"/>
      <c r="C18" s="574" t="n"/>
      <c r="D18" s="574" t="n"/>
      <c r="E18" s="574" t="n"/>
      <c r="F18" s="574" t="n"/>
      <c r="G18" s="574" t="n"/>
      <c r="H18" s="574" t="n"/>
      <c r="I18" s="574" t="n"/>
      <c r="J18" s="575" t="n"/>
      <c r="L18" s="63" t="n"/>
      <c r="M18" s="83" t="n"/>
      <c r="N18" s="5" t="n"/>
      <c r="O18" s="83" t="n"/>
      <c r="AF18" s="437">
        <f>AG15*(1+AG2)</f>
        <v/>
      </c>
      <c r="AH18" s="568" t="n"/>
      <c r="AJ18" s="437">
        <f>AK15*(1+AK2)</f>
        <v/>
      </c>
      <c r="AL18" s="568" t="n"/>
      <c r="AN18" s="437">
        <f>AO15*(1+AO2)</f>
        <v/>
      </c>
      <c r="AP18" s="568" t="n"/>
      <c r="AR18" s="437">
        <f>AS15*(1+AS2)</f>
        <v/>
      </c>
      <c r="AT18" s="568" t="n"/>
      <c r="AV18" s="437">
        <f>AW15*(1+AW2)</f>
        <v/>
      </c>
      <c r="AX18" s="568" t="n"/>
      <c r="AZ18" s="437">
        <f>BA15*(1+BA2)</f>
        <v/>
      </c>
      <c r="BB18" s="568" t="n"/>
    </row>
    <row r="19" ht="15.75" customHeight="1" s="430" thickBot="1">
      <c r="A19" s="574" t="n"/>
      <c r="B19" s="574" t="n"/>
      <c r="C19" s="574" t="n"/>
      <c r="D19" s="574" t="n"/>
      <c r="E19" s="574" t="n"/>
      <c r="F19" s="574" t="n"/>
      <c r="G19" s="574" t="n"/>
      <c r="H19" s="574" t="n"/>
      <c r="I19" s="574" t="n"/>
      <c r="L19" s="63" t="n"/>
      <c r="AF19" s="577" t="n"/>
      <c r="AG19" s="435" t="n"/>
      <c r="AH19" s="436" t="n"/>
      <c r="AJ19" s="577" t="n"/>
      <c r="AK19" s="435" t="n"/>
      <c r="AL19" s="436" t="n"/>
      <c r="AN19" s="577" t="n"/>
      <c r="AO19" s="435" t="n"/>
      <c r="AP19" s="436" t="n"/>
      <c r="AR19" s="577" t="n"/>
      <c r="AS19" s="435" t="n"/>
      <c r="AT19" s="436" t="n"/>
      <c r="AV19" s="577" t="n"/>
      <c r="AW19" s="435" t="n"/>
      <c r="AX19" s="436" t="n"/>
      <c r="AZ19" s="577" t="n"/>
      <c r="BA19" s="435" t="n"/>
      <c r="BB19" s="436" t="n"/>
    </row>
    <row r="20" ht="20.1" customHeight="1" s="430">
      <c r="A20" s="574" t="n"/>
      <c r="B20" s="574" t="n"/>
      <c r="C20" s="574" t="n"/>
      <c r="D20" s="574" t="n"/>
      <c r="E20" s="574" t="n"/>
      <c r="F20" s="574" t="n"/>
      <c r="G20" s="574" t="n"/>
      <c r="H20" s="574" t="n"/>
      <c r="I20" s="574" t="n"/>
      <c r="L20" s="63" t="n"/>
      <c r="AF20" s="249" t="inlineStr">
        <is>
          <t>💵 SELL PRICE (USD)</t>
        </is>
      </c>
      <c r="AG20" s="578">
        <f>AF18*HELPER!$AK$2</f>
        <v/>
      </c>
      <c r="AH20" t="inlineStr">
        <is>
          <t>$</t>
        </is>
      </c>
      <c r="AJ20" s="249" t="inlineStr">
        <is>
          <t>💵 SELL PRICE (USD)</t>
        </is>
      </c>
      <c r="AK20" s="578">
        <f>AJ18*HELPER!$AK$2</f>
        <v/>
      </c>
      <c r="AL20" t="inlineStr">
        <is>
          <t>$</t>
        </is>
      </c>
      <c r="AN20" s="249" t="inlineStr">
        <is>
          <t>💵 SELL PRICE (USD)</t>
        </is>
      </c>
      <c r="AO20" s="578">
        <f>AN18*HELPER!$AK$2</f>
        <v/>
      </c>
      <c r="AP20" t="inlineStr">
        <is>
          <t>$</t>
        </is>
      </c>
      <c r="AR20" s="249" t="inlineStr">
        <is>
          <t>💵 SELL PRICE (USD)</t>
        </is>
      </c>
      <c r="AS20" s="578">
        <f>AR18*HELPER!$AK$2</f>
        <v/>
      </c>
      <c r="AT20" t="inlineStr">
        <is>
          <t>$</t>
        </is>
      </c>
      <c r="AV20" s="249" t="inlineStr">
        <is>
          <t>💵 SELL PRICE (USD)</t>
        </is>
      </c>
      <c r="AW20" s="578">
        <f>AV18*HELPER!$AK$2</f>
        <v/>
      </c>
      <c r="AX20" t="inlineStr">
        <is>
          <t>$</t>
        </is>
      </c>
      <c r="AZ20" s="249" t="inlineStr">
        <is>
          <t>💵 SELL PRICE (USD)</t>
        </is>
      </c>
      <c r="BA20" s="578">
        <f>AZ18*HELPER!$AK$2</f>
        <v/>
      </c>
      <c r="BB20" t="inlineStr">
        <is>
          <t>$</t>
        </is>
      </c>
    </row>
    <row r="21" hidden="1" outlineLevel="1" ht="3.95" customHeight="1" s="430">
      <c r="A21" s="574" t="n"/>
      <c r="B21" s="574" t="n"/>
      <c r="C21" s="574" t="n"/>
      <c r="D21" s="574" t="n"/>
      <c r="E21" s="574" t="n"/>
      <c r="F21" s="574" t="n"/>
      <c r="G21" s="574" t="n"/>
      <c r="H21" s="574" t="n"/>
      <c r="I21" s="574" t="n"/>
      <c r="J21" s="557" t="n"/>
      <c r="K21" s="557" t="n"/>
      <c r="L21" s="557" t="n"/>
      <c r="M21" s="557" t="n"/>
      <c r="N21" s="557" t="n"/>
      <c r="O21" s="557" t="n"/>
      <c r="P21" s="557" t="n"/>
      <c r="AF21" s="334" t="n"/>
      <c r="AG21" s="333" t="n"/>
      <c r="AH21" s="335" t="n"/>
      <c r="AJ21" s="334" t="n"/>
      <c r="AK21" s="333" t="n"/>
      <c r="AL21" s="335" t="n"/>
      <c r="AN21" s="334" t="n"/>
      <c r="AO21" s="333" t="n"/>
      <c r="AP21" s="335" t="n"/>
      <c r="AR21" s="334" t="n"/>
      <c r="AS21" s="333" t="n"/>
      <c r="AT21" s="335" t="n"/>
      <c r="AV21" s="334" t="n"/>
      <c r="AW21" s="333" t="n"/>
      <c r="AX21" s="335" t="n"/>
      <c r="AZ21" s="334" t="n"/>
      <c r="BA21" s="333" t="n"/>
      <c r="BB21" s="335" t="n"/>
    </row>
    <row r="22" collapsed="1" ht="20.1" customHeight="1" s="430">
      <c r="A22" s="574" t="n"/>
      <c r="B22" s="574" t="n"/>
      <c r="C22" s="574" t="n"/>
      <c r="D22" s="574" t="n"/>
      <c r="E22" s="574" t="n"/>
      <c r="F22" s="574" t="n"/>
      <c r="G22" s="574" t="n"/>
      <c r="H22" s="574" t="n"/>
      <c r="I22" s="574" t="n"/>
      <c r="J22" s="557" t="n"/>
      <c r="K22" s="557" t="n"/>
      <c r="L22" s="557" t="n"/>
      <c r="M22" s="557" t="n"/>
      <c r="N22" s="557" t="n"/>
      <c r="O22" s="557" t="n"/>
      <c r="P22" s="557" t="n"/>
      <c r="AF22" s="337" t="inlineStr">
        <is>
          <t>⚙️ Input Mode</t>
        </is>
      </c>
      <c r="AG22" s="339" t="inlineStr">
        <is>
          <t>By Weight</t>
        </is>
      </c>
      <c r="AH22" s="332" t="n"/>
      <c r="AJ22" s="337" t="inlineStr">
        <is>
          <t>⚙️ Input Mode</t>
        </is>
      </c>
      <c r="AK22" s="339" t="inlineStr">
        <is>
          <t>By Weight</t>
        </is>
      </c>
      <c r="AL22" s="332" t="n"/>
      <c r="AN22" s="337" t="inlineStr">
        <is>
          <t>⚙️ Input Mode</t>
        </is>
      </c>
      <c r="AO22" s="339" t="inlineStr">
        <is>
          <t>By Weight</t>
        </is>
      </c>
      <c r="AP22" s="332" t="n"/>
      <c r="AR22" s="337" t="inlineStr">
        <is>
          <t>⚙️ Input Mode</t>
        </is>
      </c>
      <c r="AS22" s="339" t="inlineStr">
        <is>
          <t>By Weight</t>
        </is>
      </c>
      <c r="AT22" s="332" t="n"/>
      <c r="AV22" s="337" t="inlineStr">
        <is>
          <t>⚙️ Input Mode</t>
        </is>
      </c>
      <c r="AW22" s="339" t="inlineStr">
        <is>
          <t>By Weight</t>
        </is>
      </c>
      <c r="AX22" s="332" t="n"/>
      <c r="AZ22" s="337" t="inlineStr">
        <is>
          <t>⚙️ Input Mode</t>
        </is>
      </c>
      <c r="BA22" s="339" t="inlineStr">
        <is>
          <t>By Weight</t>
        </is>
      </c>
      <c r="BB22" s="332" t="n"/>
    </row>
    <row r="23" ht="20.1" customHeight="1" s="430">
      <c r="A23" s="557" t="n"/>
      <c r="B23" s="557" t="n"/>
      <c r="C23" s="557" t="n"/>
      <c r="D23" s="557" t="n"/>
      <c r="E23" s="557" t="n"/>
      <c r="F23" s="557" t="n"/>
      <c r="G23" s="557" t="n"/>
      <c r="J23" s="557" t="n"/>
      <c r="K23" s="557" t="n"/>
      <c r="L23" s="557" t="n"/>
      <c r="M23" s="557" t="n"/>
      <c r="N23" s="557" t="n"/>
      <c r="O23" s="557" t="n"/>
      <c r="P23" s="557" t="n"/>
      <c r="AF23" s="338" t="inlineStr">
        <is>
          <t>📏 Length Input</t>
        </is>
      </c>
      <c r="AG23" s="340" t="n">
        <v>49000</v>
      </c>
      <c r="AH23" s="336" t="inlineStr">
        <is>
          <t>Mr</t>
        </is>
      </c>
      <c r="AJ23" s="338" t="inlineStr">
        <is>
          <t>📏 Length Input</t>
        </is>
      </c>
      <c r="AK23" s="340" t="n"/>
      <c r="AL23" s="336" t="inlineStr">
        <is>
          <t>Mr</t>
        </is>
      </c>
      <c r="AN23" s="338" t="inlineStr">
        <is>
          <t>📏 Length Input</t>
        </is>
      </c>
      <c r="AO23" s="340" t="n"/>
      <c r="AP23" s="336" t="inlineStr">
        <is>
          <t>Mr</t>
        </is>
      </c>
      <c r="AR23" s="338" t="inlineStr">
        <is>
          <t>📏 Length Input</t>
        </is>
      </c>
      <c r="AS23" s="340" t="n"/>
      <c r="AT23" s="336" t="inlineStr">
        <is>
          <t>Mr</t>
        </is>
      </c>
      <c r="AV23" s="338" t="inlineStr">
        <is>
          <t>📏 Length Input</t>
        </is>
      </c>
      <c r="AW23" s="340" t="n"/>
      <c r="AX23" s="336" t="inlineStr">
        <is>
          <t>Mr</t>
        </is>
      </c>
      <c r="AZ23" s="338" t="inlineStr">
        <is>
          <t>📏 Length Input</t>
        </is>
      </c>
      <c r="BA23" s="340" t="n"/>
      <c r="BB23" s="336" t="inlineStr">
        <is>
          <t>Mr</t>
        </is>
      </c>
    </row>
    <row r="24" ht="18" customHeight="1" s="430">
      <c r="A24" s="557" t="n"/>
      <c r="B24" s="557" t="n"/>
      <c r="C24" s="557" t="n"/>
      <c r="D24" s="557" t="n"/>
      <c r="E24" s="557" t="n"/>
      <c r="F24" s="557" t="n"/>
      <c r="G24" s="557" t="n"/>
      <c r="J24" s="557" t="n"/>
      <c r="K24" s="557" t="n"/>
      <c r="L24" s="557" t="n"/>
      <c r="M24" s="557" t="n"/>
      <c r="N24" s="557" t="n"/>
      <c r="O24" s="557" t="n"/>
      <c r="P24" s="557" t="n"/>
      <c r="AF24" s="440">
        <f>IF(AND(AG22="By Weight", AG5&gt;HELPER!$BN$2), HELPER!$BO$2, "")</f>
        <v/>
      </c>
      <c r="AG24" s="441" t="n"/>
      <c r="AH24" s="442" t="n"/>
      <c r="AJ24" s="579">
        <f>IF(AND(AK22="By Weight", AK5&gt;HELPER!$BN$2), HELPER!$BO$2, "")</f>
        <v/>
      </c>
      <c r="AK24" s="441" t="n"/>
      <c r="AL24" s="442" t="n"/>
      <c r="AN24" s="579">
        <f>IF(AND(AO22="By Weight", AO5&gt;HELPER!$BN$2), HELPER!$BO$2, "")</f>
        <v/>
      </c>
      <c r="AO24" s="441" t="n"/>
      <c r="AP24" s="442" t="n"/>
      <c r="AR24" s="579">
        <f>IF(AND(AS22="By Weight", AS5&gt;HELPER!$BN$2), HELPER!$BO$2, "")</f>
        <v/>
      </c>
      <c r="AS24" s="441" t="n"/>
      <c r="AT24" s="442" t="n"/>
      <c r="AV24" s="579">
        <f>IF(AND(AW22="By Weight", AW5&gt;HELPER!$BN$2), HELPER!$BO$2, "")</f>
        <v/>
      </c>
      <c r="AW24" s="441" t="n"/>
      <c r="AX24" s="442" t="n"/>
      <c r="AZ24" s="579">
        <f>IF(AND(BA22="By Weight", BA5&gt;HELPER!$BN$2), HELPER!$BO$2, "")</f>
        <v/>
      </c>
      <c r="BA24" s="441" t="n"/>
      <c r="BB24" s="442" t="n"/>
    </row>
    <row r="25">
      <c r="A25" s="557" t="n"/>
      <c r="B25" s="557" t="n"/>
      <c r="C25" s="557" t="n"/>
      <c r="D25" s="557" t="n"/>
      <c r="E25" s="557" t="n"/>
      <c r="F25" s="557" t="n"/>
      <c r="G25" s="557" t="n"/>
      <c r="J25" s="557" t="n"/>
      <c r="K25" s="557" t="n"/>
      <c r="L25" s="557" t="n"/>
      <c r="M25" s="557" t="n"/>
      <c r="N25" s="557" t="n"/>
      <c r="O25" s="557" t="n"/>
      <c r="P25" s="557" t="n"/>
      <c r="AC25" s="557" t="n"/>
      <c r="AD25" s="557" t="n"/>
      <c r="AE25" s="557" t="n"/>
      <c r="AF25" s="557" t="n"/>
      <c r="AG25" s="557" t="n"/>
      <c r="AH25" s="557" t="n"/>
      <c r="AI25" s="557" t="n"/>
      <c r="AJ25" s="557" t="n"/>
      <c r="AK25" s="557" t="n"/>
      <c r="AL25" s="557" t="n"/>
      <c r="AN25" s="557" t="n"/>
      <c r="AO25" s="557" t="n"/>
      <c r="AP25" s="557" t="n"/>
      <c r="AR25" s="557" t="n"/>
      <c r="AS25" s="557" t="n"/>
      <c r="AT25" s="557" t="n"/>
      <c r="AV25" s="557" t="n"/>
      <c r="AW25" s="557" t="n"/>
      <c r="AX25" s="557" t="n"/>
      <c r="AZ25" s="557" t="n"/>
      <c r="BA25" s="557" t="n"/>
      <c r="BB25" s="557" t="n"/>
    </row>
    <row r="26">
      <c r="A26" s="557" t="n"/>
      <c r="B26" s="557" t="n"/>
      <c r="C26" s="557" t="n"/>
      <c r="D26" s="557" t="n"/>
      <c r="E26" s="557" t="n"/>
      <c r="F26" s="557" t="n"/>
      <c r="G26" s="557" t="n"/>
      <c r="J26" s="557" t="n"/>
      <c r="K26" s="557" t="n"/>
      <c r="L26" s="557" t="n"/>
      <c r="M26" s="557" t="n"/>
      <c r="N26" s="557" t="n"/>
      <c r="O26" s="557" t="n"/>
      <c r="P26" s="557" t="n"/>
      <c r="AC26" s="557" t="n"/>
      <c r="AD26" s="557" t="n"/>
      <c r="AE26" s="557" t="n"/>
      <c r="AF26" s="557" t="n"/>
      <c r="AG26" s="557" t="n"/>
      <c r="AH26" s="557" t="n"/>
      <c r="AI26" s="557" t="n"/>
      <c r="AJ26" s="557" t="n"/>
      <c r="AK26" s="557" t="n"/>
      <c r="AL26" s="557" t="n"/>
      <c r="AN26" s="557" t="n"/>
      <c r="AO26" s="557" t="n"/>
      <c r="AP26" s="557" t="n"/>
      <c r="AR26" s="557" t="n"/>
      <c r="AS26" s="557" t="n"/>
      <c r="AT26" s="557" t="n"/>
      <c r="AV26" s="557" t="n"/>
      <c r="AW26" s="557" t="n"/>
      <c r="AX26" s="557" t="n"/>
      <c r="AZ26" s="557" t="n"/>
      <c r="BA26" s="557" t="n"/>
      <c r="BB26" s="557" t="n"/>
    </row>
    <row r="27">
      <c r="A27" s="557" t="n"/>
      <c r="B27" s="557" t="n"/>
      <c r="C27" s="557" t="n"/>
      <c r="D27" s="557" t="n"/>
      <c r="E27" s="557" t="n"/>
      <c r="F27" s="557" t="n"/>
      <c r="G27" s="557" t="n"/>
      <c r="J27" s="557" t="n"/>
      <c r="K27" s="557" t="n"/>
      <c r="L27" s="557" t="n"/>
      <c r="M27" s="557" t="n"/>
      <c r="N27" s="557" t="n"/>
      <c r="O27" s="557" t="n"/>
      <c r="P27" s="557" t="n"/>
      <c r="AC27" s="557" t="n"/>
      <c r="AD27" s="557" t="n"/>
      <c r="AE27" s="557" t="n"/>
      <c r="AF27" s="557" t="n"/>
      <c r="AG27" s="557" t="n"/>
      <c r="AH27" s="557" t="n"/>
      <c r="AI27" s="557" t="n"/>
      <c r="AJ27" s="557" t="n"/>
      <c r="AK27" s="557" t="n"/>
      <c r="AL27" s="557" t="n"/>
      <c r="AN27" s="557" t="n"/>
      <c r="AO27" s="557" t="n"/>
      <c r="AP27" s="557" t="n"/>
      <c r="AR27" s="557" t="n"/>
      <c r="AS27" s="557" t="n"/>
      <c r="AT27" s="557" t="n"/>
      <c r="AV27" s="557" t="n"/>
      <c r="AW27" s="557" t="n"/>
      <c r="AX27" s="557" t="n"/>
      <c r="AZ27" s="557" t="n"/>
      <c r="BA27" s="557" t="n"/>
      <c r="BB27" s="557" t="n"/>
    </row>
    <row r="28">
      <c r="A28" s="557" t="n"/>
      <c r="B28" s="557" t="n"/>
      <c r="C28" s="557" t="n"/>
      <c r="D28" s="557" t="n"/>
      <c r="E28" s="557" t="n"/>
      <c r="F28" s="557" t="n"/>
      <c r="G28" s="557" t="n"/>
      <c r="J28" s="557" t="n"/>
      <c r="K28" s="557" t="n"/>
      <c r="L28" s="557" t="n"/>
      <c r="M28" s="557" t="n"/>
      <c r="N28" s="557" t="n"/>
      <c r="O28" s="557" t="n"/>
      <c r="P28" s="557" t="n"/>
      <c r="AC28" s="557" t="n"/>
      <c r="AD28" s="557" t="n"/>
      <c r="AE28" s="557" t="n"/>
      <c r="AF28" s="557" t="n"/>
      <c r="AG28" s="557" t="n"/>
      <c r="AH28" s="557" t="n"/>
      <c r="AI28" s="557" t="n"/>
      <c r="AJ28" s="557" t="n"/>
      <c r="AK28" s="557" t="n"/>
      <c r="AL28" s="557" t="n"/>
      <c r="AN28" s="557" t="n"/>
      <c r="AO28" s="557" t="n"/>
      <c r="AP28" s="557" t="n"/>
      <c r="AR28" s="557" t="n"/>
      <c r="AS28" s="557" t="n"/>
      <c r="AT28" s="557" t="n"/>
      <c r="AV28" s="557" t="n"/>
      <c r="AW28" s="557" t="n"/>
      <c r="AX28" s="557" t="n"/>
      <c r="AZ28" s="557" t="n"/>
      <c r="BA28" s="557" t="n"/>
      <c r="BB28" s="557" t="n"/>
    </row>
    <row r="29">
      <c r="A29" s="557" t="n"/>
      <c r="B29" s="557" t="n"/>
      <c r="C29" s="557" t="n"/>
      <c r="D29" s="557" t="n"/>
      <c r="E29" s="557" t="n"/>
      <c r="F29" s="557" t="n"/>
      <c r="G29" s="557" t="n"/>
      <c r="J29" s="557" t="n"/>
      <c r="K29" s="557" t="n"/>
      <c r="L29" s="557" t="n"/>
      <c r="M29" s="557" t="n"/>
      <c r="N29" s="557" t="n"/>
      <c r="O29" s="557" t="n"/>
      <c r="P29" s="557" t="n"/>
      <c r="AC29" s="557" t="n"/>
      <c r="AD29" s="557" t="n"/>
      <c r="AE29" s="557" t="n"/>
      <c r="AF29" s="557" t="n"/>
      <c r="AG29" s="557" t="n"/>
      <c r="AH29" s="557" t="n"/>
      <c r="AI29" s="557" t="n"/>
      <c r="AJ29" s="557" t="n"/>
      <c r="AK29" s="557" t="n"/>
      <c r="AL29" s="557" t="n"/>
      <c r="AN29" s="557" t="n"/>
      <c r="AO29" s="557" t="n"/>
      <c r="AP29" s="557" t="n"/>
      <c r="AR29" s="557" t="n"/>
      <c r="AS29" s="557" t="n"/>
      <c r="AT29" s="557" t="n"/>
      <c r="AV29" s="557" t="n"/>
      <c r="AW29" s="557" t="n"/>
      <c r="AX29" s="557" t="n"/>
      <c r="AZ29" s="557" t="n"/>
      <c r="BA29" s="557" t="n"/>
      <c r="BB29" s="557" t="n"/>
    </row>
    <row r="30">
      <c r="A30" s="557" t="n"/>
      <c r="B30" s="557" t="n"/>
      <c r="C30" s="557" t="n"/>
      <c r="D30" s="557" t="n"/>
      <c r="E30" s="557" t="n"/>
      <c r="F30" s="557" t="n"/>
      <c r="G30" s="557" t="n"/>
      <c r="J30" s="557" t="n"/>
      <c r="K30" s="557" t="n"/>
      <c r="L30" s="557" t="n"/>
      <c r="M30" s="557" t="n"/>
      <c r="N30" s="557" t="n"/>
      <c r="O30" s="557" t="n"/>
      <c r="P30" s="557" t="n"/>
      <c r="AC30" s="557" t="n"/>
      <c r="AD30" s="557" t="n"/>
      <c r="AE30" s="557" t="n"/>
      <c r="AF30" s="557" t="n"/>
      <c r="AG30" s="557" t="n"/>
      <c r="AH30" s="557" t="n"/>
      <c r="AI30" s="557" t="n"/>
      <c r="AJ30" s="557" t="n"/>
      <c r="AK30" s="557" t="n"/>
      <c r="AL30" s="557" t="n"/>
      <c r="AN30" s="557" t="n"/>
      <c r="AO30" s="557" t="n"/>
      <c r="AP30" s="557" t="n"/>
      <c r="AR30" s="557" t="n"/>
      <c r="AS30" s="557" t="n"/>
      <c r="AT30" s="557" t="n"/>
      <c r="AV30" s="557" t="n"/>
      <c r="AW30" s="557" t="n"/>
      <c r="AX30" s="557" t="n"/>
      <c r="AZ30" s="557" t="n"/>
      <c r="BA30" s="557" t="n"/>
      <c r="BB30" s="557" t="n"/>
    </row>
    <row r="31">
      <c r="A31" s="557" t="n"/>
      <c r="B31" s="557" t="n"/>
      <c r="C31" s="557" t="n"/>
      <c r="D31" s="557" t="n"/>
      <c r="E31" s="557" t="n"/>
      <c r="F31" s="557" t="n"/>
      <c r="G31" s="557" t="n"/>
      <c r="J31" s="557" t="n"/>
      <c r="K31" s="557" t="n"/>
      <c r="L31" s="557" t="n"/>
      <c r="M31" s="557" t="n"/>
      <c r="N31" s="557" t="n"/>
      <c r="O31" s="557" t="n"/>
      <c r="P31" s="557" t="n"/>
      <c r="Q31" s="557" t="n"/>
      <c r="R31" s="557" t="n"/>
      <c r="S31" s="557" t="n"/>
      <c r="T31" s="557" t="n"/>
      <c r="U31" s="557" t="n"/>
      <c r="V31" s="557" t="n"/>
      <c r="W31" s="557" t="n"/>
      <c r="X31" s="557" t="n"/>
      <c r="Y31" s="557" t="n"/>
      <c r="Z31" s="557" t="n"/>
      <c r="AC31" s="557" t="n"/>
      <c r="AD31" s="557" t="n"/>
      <c r="AE31" s="557" t="n"/>
      <c r="AF31" s="557" t="n"/>
      <c r="AG31" s="557" t="n"/>
      <c r="AH31" s="557" t="n"/>
      <c r="AI31" s="557" t="n"/>
      <c r="AJ31" s="557" t="n"/>
      <c r="AK31" s="557" t="n"/>
      <c r="AL31" s="557" t="n"/>
      <c r="AN31" s="557" t="n"/>
      <c r="AO31" s="557" t="n"/>
      <c r="AP31" s="557" t="n"/>
      <c r="AR31" s="557" t="n"/>
      <c r="AS31" s="557" t="n"/>
      <c r="AT31" s="557" t="n"/>
      <c r="AV31" s="557" t="n"/>
      <c r="AW31" s="557" t="n"/>
      <c r="AX31" s="557" t="n"/>
      <c r="AZ31" s="557" t="n"/>
      <c r="BA31" s="557" t="n"/>
      <c r="BB31" s="557" t="n"/>
    </row>
    <row r="32">
      <c r="A32" s="557" t="n"/>
      <c r="B32" s="557" t="n"/>
      <c r="C32" s="557" t="n"/>
      <c r="D32" s="557" t="n"/>
      <c r="E32" s="557" t="n"/>
      <c r="F32" s="557" t="n"/>
      <c r="G32" s="557" t="n"/>
      <c r="J32" s="557" t="n"/>
      <c r="K32" s="557" t="n"/>
      <c r="L32" s="557" t="n"/>
      <c r="M32" s="557" t="n"/>
      <c r="N32" s="557" t="n"/>
      <c r="O32" s="557" t="n"/>
      <c r="P32" s="557" t="n"/>
      <c r="Q32" s="557" t="n"/>
      <c r="R32" s="557" t="n"/>
      <c r="S32" s="557" t="n"/>
      <c r="T32" s="557" t="n"/>
      <c r="U32" s="557" t="n"/>
      <c r="V32" s="557" t="n"/>
      <c r="W32" s="557" t="n"/>
      <c r="X32" s="557" t="n"/>
      <c r="Y32" s="557" t="n"/>
      <c r="Z32" s="557" t="n"/>
      <c r="AC32" s="557" t="n"/>
      <c r="AD32" s="557" t="n"/>
      <c r="AE32" s="557" t="n"/>
      <c r="AF32" s="557" t="n"/>
      <c r="AG32" s="557" t="n"/>
      <c r="AH32" s="557" t="n"/>
      <c r="AI32" s="557" t="n"/>
      <c r="AJ32" s="557" t="n"/>
      <c r="AK32" s="557" t="n"/>
      <c r="AL32" s="557" t="n"/>
      <c r="AN32" s="557" t="n"/>
      <c r="AO32" s="557" t="n"/>
      <c r="AP32" s="557" t="n"/>
      <c r="AR32" s="557" t="n"/>
      <c r="AS32" s="557" t="n"/>
      <c r="AT32" s="557" t="n"/>
      <c r="AV32" s="557" t="n"/>
      <c r="AW32" s="557" t="n"/>
      <c r="AX32" s="557" t="n"/>
      <c r="AZ32" s="557" t="n"/>
      <c r="BA32" s="557" t="n"/>
      <c r="BB32" s="557" t="n"/>
    </row>
    <row r="33">
      <c r="A33" s="557" t="n"/>
      <c r="B33" s="557" t="n"/>
      <c r="C33" s="557" t="n"/>
      <c r="D33" s="557" t="n"/>
      <c r="E33" s="557" t="n"/>
      <c r="F33" s="557" t="n"/>
      <c r="G33" s="557" t="n"/>
      <c r="J33" s="557" t="n"/>
      <c r="K33" s="557" t="n"/>
      <c r="L33" s="557" t="n"/>
      <c r="M33" s="557" t="n"/>
      <c r="N33" s="557" t="n"/>
      <c r="O33" s="557" t="n"/>
      <c r="P33" s="557" t="n"/>
      <c r="Q33" s="557" t="n"/>
      <c r="R33" s="557" t="n"/>
      <c r="S33" s="557" t="n"/>
      <c r="T33" s="557" t="n"/>
      <c r="U33" s="557" t="n"/>
      <c r="V33" s="557" t="n"/>
      <c r="W33" s="557" t="n"/>
      <c r="X33" s="557" t="n"/>
      <c r="Y33" s="557" t="n"/>
      <c r="Z33" s="557" t="n"/>
      <c r="AC33" s="557" t="n"/>
      <c r="AD33" s="557" t="n"/>
      <c r="AE33" s="557" t="n"/>
      <c r="AF33" s="557" t="n"/>
      <c r="AG33" s="557" t="n"/>
      <c r="AH33" s="557" t="n"/>
      <c r="AI33" s="557" t="n"/>
      <c r="AJ33" s="557" t="n"/>
      <c r="AK33" s="557" t="n"/>
      <c r="AL33" s="557" t="n"/>
      <c r="AN33" s="557" t="n"/>
      <c r="AO33" s="557" t="n"/>
      <c r="AP33" s="557" t="n"/>
      <c r="AR33" s="557" t="n"/>
      <c r="AS33" s="557" t="n"/>
      <c r="AT33" s="557" t="n"/>
      <c r="AV33" s="557" t="n"/>
      <c r="AW33" s="557" t="n"/>
      <c r="AX33" s="557" t="n"/>
      <c r="AZ33" s="557" t="n"/>
      <c r="BA33" s="557" t="n"/>
      <c r="BB33" s="557" t="n"/>
    </row>
    <row r="34">
      <c r="A34" s="557" t="n"/>
      <c r="B34" s="557" t="n"/>
      <c r="C34" s="557" t="n"/>
      <c r="D34" s="557" t="n"/>
      <c r="E34" s="557" t="n"/>
      <c r="F34" s="557" t="n"/>
      <c r="G34" s="557" t="n"/>
      <c r="J34" s="557" t="n"/>
      <c r="K34" s="557" t="n"/>
      <c r="L34" s="557" t="n"/>
      <c r="M34" s="557" t="n"/>
      <c r="N34" s="557" t="n"/>
      <c r="O34" s="557" t="n"/>
      <c r="P34" s="557" t="n"/>
      <c r="Q34" s="557" t="n"/>
      <c r="R34" s="557" t="n"/>
      <c r="S34" s="557" t="n"/>
      <c r="T34" s="557" t="n"/>
      <c r="U34" s="557" t="n"/>
      <c r="V34" s="557" t="n"/>
      <c r="W34" s="557" t="n"/>
      <c r="X34" s="557" t="n"/>
      <c r="Y34" s="557" t="n"/>
      <c r="Z34" s="557" t="n"/>
      <c r="AC34" s="557" t="n"/>
      <c r="AD34" s="557" t="n"/>
      <c r="AE34" s="557" t="n"/>
      <c r="AF34" s="557" t="n"/>
      <c r="AG34" s="557" t="n"/>
      <c r="AH34" s="557" t="n"/>
      <c r="AI34" s="557" t="n"/>
      <c r="AJ34" s="557" t="n"/>
      <c r="AK34" s="557" t="n"/>
      <c r="AL34" s="557" t="n"/>
      <c r="AN34" s="557" t="n"/>
      <c r="AO34" s="557" t="n"/>
      <c r="AP34" s="557" t="n"/>
      <c r="AR34" s="557" t="n"/>
      <c r="AS34" s="557" t="n"/>
      <c r="AT34" s="557" t="n"/>
      <c r="AV34" s="557" t="n"/>
      <c r="AW34" s="557" t="n"/>
      <c r="AX34" s="557" t="n"/>
      <c r="AZ34" s="557" t="n"/>
      <c r="BA34" s="557" t="n"/>
      <c r="BB34" s="557" t="n"/>
    </row>
    <row r="35">
      <c r="A35" s="557" t="n"/>
      <c r="B35" s="557" t="n"/>
      <c r="C35" s="557" t="n"/>
      <c r="D35" s="557" t="n"/>
      <c r="E35" s="557" t="n"/>
      <c r="F35" s="557" t="n"/>
      <c r="G35" s="557" t="n"/>
      <c r="J35" s="557" t="n"/>
      <c r="K35" s="557" t="n"/>
      <c r="L35" s="557" t="n"/>
      <c r="M35" s="557" t="n"/>
      <c r="N35" s="557" t="n"/>
      <c r="O35" s="557" t="n"/>
      <c r="P35" s="557" t="n"/>
      <c r="Q35" s="557" t="n"/>
      <c r="R35" s="557" t="n"/>
      <c r="S35" s="557" t="n"/>
      <c r="T35" s="557" t="n"/>
      <c r="U35" s="557" t="n"/>
      <c r="V35" s="557" t="n"/>
      <c r="W35" s="557" t="n"/>
      <c r="X35" s="557" t="n"/>
      <c r="Y35" s="557" t="n"/>
      <c r="Z35" s="557" t="n"/>
      <c r="AC35" s="557" t="n"/>
      <c r="AD35" s="557" t="n"/>
      <c r="AE35" s="557" t="n"/>
      <c r="AF35" s="557" t="n"/>
      <c r="AG35" s="557" t="n"/>
      <c r="AH35" s="557" t="n"/>
      <c r="AI35" s="557" t="n"/>
      <c r="AJ35" s="557" t="n"/>
      <c r="AK35" s="557" t="n"/>
      <c r="AL35" s="557" t="n"/>
      <c r="AN35" s="557" t="n"/>
      <c r="AO35" s="557" t="n"/>
      <c r="AP35" s="557" t="n"/>
      <c r="AR35" s="557" t="n"/>
      <c r="AS35" s="557" t="n"/>
      <c r="AT35" s="557" t="n"/>
      <c r="AV35" s="557" t="n"/>
      <c r="AW35" s="557" t="n"/>
      <c r="AX35" s="557" t="n"/>
      <c r="AZ35" s="557" t="n"/>
      <c r="BA35" s="557" t="n"/>
      <c r="BB35" s="557" t="n"/>
    </row>
    <row r="36">
      <c r="A36" s="557" t="n"/>
      <c r="B36" s="557" t="n"/>
      <c r="C36" s="557" t="n"/>
      <c r="D36" s="557" t="n"/>
      <c r="E36" s="557" t="n"/>
      <c r="F36" s="557" t="n"/>
      <c r="G36" s="557" t="n"/>
      <c r="J36" s="557" t="n"/>
      <c r="K36" s="557" t="n"/>
      <c r="L36" s="557" t="n"/>
      <c r="M36" s="557" t="n"/>
      <c r="N36" s="557" t="n"/>
      <c r="O36" s="557" t="n"/>
      <c r="P36" s="557" t="n"/>
      <c r="Q36" s="557" t="n"/>
      <c r="R36" s="557" t="n"/>
      <c r="S36" s="557" t="n"/>
      <c r="T36" s="557" t="n"/>
      <c r="U36" s="557" t="n"/>
      <c r="V36" s="557" t="n"/>
      <c r="W36" s="557" t="n"/>
      <c r="X36" s="557" t="n"/>
      <c r="Y36" s="557" t="n"/>
      <c r="Z36" s="557" t="n"/>
      <c r="AC36" s="557" t="n"/>
      <c r="AD36" s="557" t="n"/>
      <c r="AE36" s="557" t="n"/>
      <c r="AF36" s="557" t="n"/>
      <c r="AG36" s="557" t="n"/>
      <c r="AH36" s="557" t="n"/>
      <c r="AI36" s="557" t="n"/>
      <c r="AJ36" s="557" t="n"/>
      <c r="AK36" s="557" t="n"/>
      <c r="AL36" s="557" t="n"/>
      <c r="AN36" s="557" t="n"/>
      <c r="AO36" s="557" t="n"/>
      <c r="AP36" s="557" t="n"/>
      <c r="AR36" s="557" t="n"/>
      <c r="AS36" s="557" t="n"/>
      <c r="AT36" s="557" t="n"/>
      <c r="AV36" s="557" t="n"/>
      <c r="AW36" s="557" t="n"/>
      <c r="AX36" s="557" t="n"/>
      <c r="AZ36" s="557" t="n"/>
      <c r="BA36" s="557" t="n"/>
      <c r="BB36" s="557" t="n"/>
    </row>
    <row r="37">
      <c r="A37" s="557" t="n"/>
      <c r="B37" s="557" t="n"/>
      <c r="C37" s="557" t="n"/>
      <c r="D37" s="557" t="n"/>
      <c r="E37" s="557" t="n"/>
      <c r="F37" s="557" t="n"/>
      <c r="G37" s="557" t="n"/>
      <c r="J37" s="557" t="n"/>
      <c r="K37" s="557" t="n"/>
      <c r="L37" s="557" t="n"/>
      <c r="M37" s="557" t="n"/>
      <c r="N37" s="557" t="n"/>
      <c r="O37" s="557" t="n"/>
      <c r="P37" s="557" t="n"/>
      <c r="Q37" s="557" t="n"/>
      <c r="R37" s="557" t="n"/>
      <c r="S37" s="557" t="n"/>
      <c r="T37" s="557" t="n"/>
      <c r="U37" s="557" t="n"/>
      <c r="V37" s="557" t="n"/>
      <c r="W37" s="557" t="n"/>
      <c r="X37" s="557" t="n"/>
      <c r="Y37" s="557" t="n"/>
      <c r="Z37" s="557" t="n"/>
      <c r="AC37" s="557" t="n"/>
      <c r="AD37" s="557" t="n"/>
      <c r="AE37" s="557" t="n"/>
      <c r="AF37" s="557" t="n"/>
      <c r="AG37" s="557" t="n"/>
      <c r="AH37" s="557" t="n"/>
      <c r="AI37" s="557" t="n"/>
      <c r="AJ37" s="557" t="n"/>
      <c r="AK37" s="557" t="n"/>
      <c r="AL37" s="557" t="n"/>
      <c r="AN37" s="557" t="n"/>
      <c r="AO37" s="557" t="n"/>
      <c r="AP37" s="557" t="n"/>
      <c r="AR37" s="557" t="n"/>
      <c r="AS37" s="557" t="n"/>
      <c r="AT37" s="557" t="n"/>
      <c r="AV37" s="557" t="n"/>
      <c r="AW37" s="557" t="n"/>
      <c r="AX37" s="557" t="n"/>
      <c r="AZ37" s="557" t="n"/>
      <c r="BA37" s="557" t="n"/>
      <c r="BB37" s="557" t="n"/>
    </row>
    <row r="38">
      <c r="A38" s="557" t="n"/>
      <c r="B38" s="557" t="n"/>
      <c r="C38" s="557" t="n"/>
      <c r="D38" s="557" t="n"/>
      <c r="E38" s="557" t="n"/>
      <c r="F38" s="557" t="n"/>
      <c r="G38" s="557" t="n"/>
      <c r="J38" s="557" t="n"/>
      <c r="K38" s="557" t="n"/>
      <c r="L38" s="557" t="n"/>
      <c r="M38" s="557" t="n"/>
      <c r="N38" s="557" t="n"/>
      <c r="O38" s="557" t="n"/>
      <c r="P38" s="557" t="n"/>
      <c r="Q38" s="557" t="n"/>
      <c r="R38" s="557" t="n"/>
      <c r="S38" s="557" t="n"/>
      <c r="T38" s="557" t="n"/>
      <c r="U38" s="557" t="n"/>
      <c r="V38" s="557" t="n"/>
      <c r="W38" s="557" t="n"/>
      <c r="X38" s="557" t="n"/>
      <c r="Y38" s="557" t="n"/>
      <c r="Z38" s="557" t="n"/>
      <c r="AC38" s="557" t="n"/>
      <c r="AD38" s="557" t="n"/>
      <c r="AE38" s="557" t="n"/>
      <c r="AF38" s="557" t="n"/>
      <c r="AG38" s="557" t="n"/>
      <c r="AH38" s="557" t="n"/>
      <c r="AI38" s="557" t="n"/>
      <c r="AJ38" s="557" t="n"/>
      <c r="AK38" s="557" t="n"/>
      <c r="AL38" s="557" t="n"/>
      <c r="AN38" s="557" t="n"/>
      <c r="AO38" s="557" t="n"/>
      <c r="AP38" s="557" t="n"/>
      <c r="AR38" s="557" t="n"/>
      <c r="AS38" s="557" t="n"/>
      <c r="AT38" s="557" t="n"/>
      <c r="AV38" s="557" t="n"/>
      <c r="AW38" s="557" t="n"/>
      <c r="AX38" s="557" t="n"/>
      <c r="AZ38" s="557" t="n"/>
      <c r="BA38" s="557" t="n"/>
      <c r="BB38" s="557" t="n"/>
    </row>
    <row r="39">
      <c r="A39" s="557" t="n"/>
      <c r="B39" s="557" t="n"/>
      <c r="C39" s="557" t="n"/>
      <c r="D39" s="557" t="n"/>
      <c r="E39" s="557" t="n"/>
      <c r="F39" s="557" t="n"/>
      <c r="G39" s="557" t="n"/>
      <c r="J39" s="557" t="n"/>
      <c r="K39" s="557" t="n"/>
      <c r="L39" s="557" t="n"/>
      <c r="M39" s="557" t="n"/>
      <c r="N39" s="557" t="n"/>
      <c r="O39" s="557" t="n"/>
      <c r="P39" s="557" t="n"/>
      <c r="Q39" s="557" t="n"/>
      <c r="R39" s="557" t="n"/>
      <c r="S39" s="557" t="n"/>
      <c r="T39" s="557" t="n"/>
      <c r="U39" s="557" t="n"/>
      <c r="V39" s="557" t="n"/>
      <c r="W39" s="557" t="n"/>
      <c r="X39" s="557" t="n"/>
      <c r="Y39" s="557" t="n"/>
      <c r="Z39" s="557" t="n"/>
      <c r="AC39" s="557" t="n"/>
      <c r="AD39" s="557" t="n"/>
      <c r="AE39" s="557" t="n"/>
      <c r="AF39" s="557" t="n"/>
      <c r="AG39" s="557" t="n"/>
      <c r="AH39" s="557" t="n"/>
      <c r="AI39" s="557" t="n"/>
      <c r="AJ39" s="557" t="n"/>
      <c r="AK39" s="557" t="n"/>
      <c r="AL39" s="557" t="n"/>
      <c r="AN39" s="557" t="n"/>
      <c r="AO39" s="557" t="n"/>
      <c r="AP39" s="557" t="n"/>
      <c r="AR39" s="557" t="n"/>
      <c r="AS39" s="557" t="n"/>
      <c r="AT39" s="557" t="n"/>
      <c r="AV39" s="557" t="n"/>
      <c r="AW39" s="557" t="n"/>
      <c r="AX39" s="557" t="n"/>
      <c r="AZ39" s="557" t="n"/>
      <c r="BA39" s="557" t="n"/>
      <c r="BB39" s="557" t="n"/>
    </row>
    <row r="40">
      <c r="A40" s="557" t="n"/>
      <c r="B40" s="557" t="n"/>
      <c r="C40" s="557" t="n"/>
      <c r="D40" s="557" t="n"/>
      <c r="E40" s="557" t="n"/>
      <c r="F40" s="557" t="n"/>
      <c r="G40" s="557" t="n"/>
      <c r="J40" s="557" t="n"/>
      <c r="K40" s="557" t="n"/>
      <c r="L40" s="557" t="n"/>
      <c r="M40" s="557" t="n"/>
      <c r="N40" s="557" t="n"/>
      <c r="O40" s="557" t="n"/>
      <c r="P40" s="557" t="n"/>
      <c r="Q40" s="557" t="n"/>
      <c r="R40" s="557" t="n"/>
      <c r="S40" s="557" t="n"/>
      <c r="T40" s="557" t="n"/>
      <c r="U40" s="557" t="n"/>
      <c r="V40" s="557" t="n"/>
      <c r="W40" s="557" t="n"/>
      <c r="X40" s="557" t="n"/>
      <c r="Y40" s="557" t="n"/>
      <c r="Z40" s="557" t="n"/>
      <c r="AC40" s="557" t="n"/>
      <c r="AD40" s="557" t="n"/>
      <c r="AE40" s="557" t="n"/>
      <c r="AF40" s="557" t="n"/>
      <c r="AG40" s="557" t="n"/>
      <c r="AH40" s="557" t="n"/>
      <c r="AI40" s="557" t="n"/>
      <c r="AJ40" s="557" t="n"/>
      <c r="AK40" s="557" t="n"/>
      <c r="AL40" s="557" t="n"/>
      <c r="AN40" s="557" t="n"/>
      <c r="AO40" s="557" t="n"/>
      <c r="AP40" s="557" t="n"/>
      <c r="AR40" s="557" t="n"/>
      <c r="AS40" s="557" t="n"/>
      <c r="AT40" s="557" t="n"/>
      <c r="AV40" s="557" t="n"/>
      <c r="AW40" s="557" t="n"/>
      <c r="AX40" s="557" t="n"/>
      <c r="AZ40" s="557" t="n"/>
      <c r="BA40" s="557" t="n"/>
      <c r="BB40" s="557" t="n"/>
    </row>
    <row r="41">
      <c r="A41" s="557" t="n"/>
      <c r="B41" s="557" t="n"/>
      <c r="C41" s="557" t="n"/>
      <c r="D41" s="557" t="n"/>
      <c r="E41" s="557" t="n"/>
      <c r="F41" s="557" t="n"/>
      <c r="G41" s="557" t="n"/>
      <c r="J41" s="557" t="n"/>
      <c r="K41" s="557" t="n"/>
      <c r="L41" s="557" t="n"/>
      <c r="M41" s="557" t="n"/>
      <c r="N41" s="557" t="n"/>
      <c r="O41" s="557" t="n"/>
      <c r="P41" s="557" t="n"/>
      <c r="Q41" s="557" t="n"/>
      <c r="R41" s="557" t="n"/>
      <c r="S41" s="557" t="n"/>
      <c r="T41" s="557" t="n"/>
      <c r="U41" s="557" t="n"/>
      <c r="V41" s="557" t="n"/>
      <c r="W41" s="557" t="n"/>
      <c r="X41" s="557" t="n"/>
      <c r="Y41" s="557" t="n"/>
      <c r="Z41" s="557" t="n"/>
      <c r="AC41" s="557" t="n"/>
      <c r="AD41" s="557" t="n"/>
      <c r="AE41" s="557" t="n"/>
      <c r="AF41" s="557" t="n"/>
      <c r="AG41" s="557" t="n"/>
      <c r="AH41" s="557" t="n"/>
      <c r="AI41" s="557" t="n"/>
      <c r="AJ41" s="557" t="n"/>
      <c r="AK41" s="557" t="n"/>
      <c r="AL41" s="557" t="n"/>
      <c r="AN41" s="557" t="n"/>
      <c r="AO41" s="557" t="n"/>
      <c r="AP41" s="557" t="n"/>
      <c r="AR41" s="557" t="n"/>
      <c r="AS41" s="557" t="n"/>
      <c r="AT41" s="557" t="n"/>
      <c r="AV41" s="557" t="n"/>
      <c r="AW41" s="557" t="n"/>
      <c r="AX41" s="557" t="n"/>
      <c r="AZ41" s="557" t="n"/>
      <c r="BA41" s="557" t="n"/>
      <c r="BB41" s="557" t="n"/>
    </row>
    <row r="42">
      <c r="A42" s="557" t="n"/>
      <c r="B42" s="557" t="n"/>
      <c r="C42" s="557" t="n"/>
      <c r="D42" s="557" t="n"/>
      <c r="E42" s="557" t="n"/>
      <c r="F42" s="557" t="n"/>
      <c r="G42" s="557" t="n"/>
      <c r="J42" s="557" t="n"/>
      <c r="K42" s="557" t="n"/>
      <c r="L42" s="557" t="n"/>
      <c r="M42" s="557" t="n"/>
      <c r="N42" s="557" t="n"/>
      <c r="O42" s="557" t="n"/>
      <c r="P42" s="557" t="n"/>
      <c r="Q42" s="557" t="n"/>
      <c r="R42" s="557" t="n"/>
      <c r="S42" s="557" t="n"/>
      <c r="T42" s="557" t="n"/>
      <c r="U42" s="557" t="n"/>
      <c r="V42" s="557" t="n"/>
      <c r="W42" s="557" t="n"/>
      <c r="X42" s="557" t="n"/>
      <c r="Y42" s="557" t="n"/>
      <c r="Z42" s="557" t="n"/>
      <c r="AC42" s="557" t="n"/>
      <c r="AD42" s="557" t="n"/>
      <c r="AE42" s="557" t="n"/>
      <c r="AF42" s="557" t="n"/>
      <c r="AG42" s="557" t="n"/>
      <c r="AH42" s="557" t="n"/>
      <c r="AI42" s="557" t="n"/>
      <c r="AJ42" s="557" t="n"/>
      <c r="AK42" s="557" t="n"/>
      <c r="AL42" s="557" t="n"/>
      <c r="AN42" s="557" t="n"/>
      <c r="AO42" s="557" t="n"/>
      <c r="AP42" s="557" t="n"/>
      <c r="AR42" s="557" t="n"/>
      <c r="AS42" s="557" t="n"/>
      <c r="AT42" s="557" t="n"/>
      <c r="AV42" s="557" t="n"/>
      <c r="AW42" s="557" t="n"/>
      <c r="AX42" s="557" t="n"/>
      <c r="AZ42" s="557" t="n"/>
      <c r="BA42" s="557" t="n"/>
      <c r="BB42" s="557" t="n"/>
    </row>
    <row r="43">
      <c r="A43" s="557" t="n"/>
      <c r="B43" s="557" t="n"/>
      <c r="C43" s="557" t="n"/>
      <c r="D43" s="557" t="n"/>
      <c r="E43" s="557" t="n"/>
      <c r="F43" s="557" t="n"/>
      <c r="G43" s="557" t="n"/>
      <c r="J43" s="557" t="n"/>
      <c r="K43" s="557" t="n"/>
      <c r="L43" s="557" t="n"/>
      <c r="M43" s="557" t="n"/>
      <c r="N43" s="557" t="n"/>
      <c r="O43" s="557" t="n"/>
      <c r="P43" s="557" t="n"/>
      <c r="Q43" s="557" t="n"/>
      <c r="R43" s="557" t="n"/>
      <c r="S43" s="557" t="n"/>
      <c r="T43" s="557" t="n"/>
      <c r="U43" s="557" t="n"/>
      <c r="V43" s="557" t="n"/>
      <c r="W43" s="557" t="n"/>
      <c r="X43" s="557" t="n"/>
      <c r="Y43" s="557" t="n"/>
      <c r="Z43" s="557" t="n"/>
      <c r="AC43" s="557" t="n"/>
      <c r="AD43" s="557" t="n"/>
      <c r="AE43" s="557" t="n"/>
      <c r="AF43" s="557" t="n"/>
      <c r="AG43" s="557" t="n"/>
      <c r="AH43" s="557" t="n"/>
      <c r="AI43" s="557" t="n"/>
      <c r="AJ43" s="557" t="n"/>
      <c r="AK43" s="557" t="n"/>
      <c r="AL43" s="557" t="n"/>
      <c r="AN43" s="557" t="n"/>
      <c r="AO43" s="557" t="n"/>
      <c r="AP43" s="557" t="n"/>
      <c r="AR43" s="557" t="n"/>
      <c r="AS43" s="557" t="n"/>
      <c r="AT43" s="557" t="n"/>
      <c r="AV43" s="557" t="n"/>
      <c r="AW43" s="557" t="n"/>
      <c r="AX43" s="557" t="n"/>
      <c r="AZ43" s="557" t="n"/>
      <c r="BA43" s="557" t="n"/>
      <c r="BB43" s="557" t="n"/>
    </row>
    <row r="44">
      <c r="A44" s="557" t="n"/>
      <c r="B44" s="557" t="n"/>
      <c r="C44" s="557" t="n"/>
      <c r="D44" s="557" t="n"/>
      <c r="E44" s="557" t="n"/>
      <c r="F44" s="557" t="n"/>
      <c r="G44" s="557" t="n"/>
      <c r="J44" s="557" t="n"/>
      <c r="K44" s="557" t="n"/>
      <c r="L44" s="557" t="n"/>
      <c r="M44" s="557" t="n"/>
      <c r="N44" s="557" t="n"/>
      <c r="O44" s="557" t="n"/>
      <c r="P44" s="557" t="n"/>
      <c r="Q44" s="557" t="n"/>
      <c r="R44" s="557" t="n"/>
      <c r="S44" s="557" t="n"/>
      <c r="T44" s="557" t="n"/>
      <c r="U44" s="557" t="n"/>
      <c r="V44" s="557" t="n"/>
      <c r="W44" s="557" t="n"/>
      <c r="X44" s="557" t="n"/>
      <c r="Y44" s="557" t="n"/>
      <c r="Z44" s="557" t="n"/>
      <c r="AC44" s="557" t="n"/>
      <c r="AD44" s="557" t="n"/>
      <c r="AE44" s="557" t="n"/>
      <c r="AF44" s="557" t="n"/>
      <c r="AG44" s="557" t="n"/>
      <c r="AH44" s="557" t="n"/>
      <c r="AI44" s="557" t="n"/>
      <c r="AJ44" s="557" t="n"/>
      <c r="AK44" s="557" t="n"/>
      <c r="AL44" s="557" t="n"/>
      <c r="AN44" s="557" t="n"/>
      <c r="AO44" s="557" t="n"/>
      <c r="AP44" s="557" t="n"/>
      <c r="AR44" s="557" t="n"/>
      <c r="AS44" s="557" t="n"/>
      <c r="AT44" s="557" t="n"/>
      <c r="AV44" s="557" t="n"/>
      <c r="AW44" s="557" t="n"/>
      <c r="AX44" s="557" t="n"/>
      <c r="AZ44" s="557" t="n"/>
      <c r="BA44" s="557" t="n"/>
      <c r="BB44" s="557" t="n"/>
    </row>
    <row r="45">
      <c r="A45" s="557" t="n"/>
      <c r="B45" s="557" t="n"/>
      <c r="C45" s="557" t="n"/>
      <c r="D45" s="557" t="n"/>
      <c r="E45" s="557" t="n"/>
      <c r="F45" s="557" t="n"/>
      <c r="G45" s="557" t="n"/>
      <c r="J45" s="557" t="n"/>
      <c r="K45" s="557" t="n"/>
      <c r="L45" s="557" t="n"/>
      <c r="M45" s="557" t="n"/>
      <c r="N45" s="557" t="n"/>
      <c r="O45" s="557" t="n"/>
      <c r="P45" s="557" t="n"/>
      <c r="Q45" s="557" t="n"/>
      <c r="R45" s="557" t="n"/>
      <c r="S45" s="557" t="n"/>
      <c r="T45" s="557" t="n"/>
      <c r="U45" s="557" t="n"/>
      <c r="V45" s="557" t="n"/>
      <c r="W45" s="557" t="n"/>
      <c r="X45" s="557" t="n"/>
      <c r="Y45" s="557" t="n"/>
      <c r="Z45" s="557" t="n"/>
      <c r="AC45" s="557" t="n"/>
      <c r="AD45" s="557" t="n"/>
      <c r="AE45" s="557" t="n"/>
      <c r="AF45" s="557" t="n"/>
      <c r="AG45" s="557" t="n"/>
      <c r="AH45" s="557" t="n"/>
      <c r="AI45" s="557" t="n"/>
      <c r="AJ45" s="557" t="n"/>
      <c r="AK45" s="557" t="n"/>
      <c r="AL45" s="557" t="n"/>
      <c r="AN45" s="557" t="n"/>
      <c r="AO45" s="557" t="n"/>
      <c r="AP45" s="557" t="n"/>
      <c r="AR45" s="557" t="n"/>
      <c r="AS45" s="557" t="n"/>
      <c r="AT45" s="557" t="n"/>
      <c r="AV45" s="557" t="n"/>
      <c r="AW45" s="557" t="n"/>
      <c r="AX45" s="557" t="n"/>
      <c r="AZ45" s="557" t="n"/>
      <c r="BA45" s="557" t="n"/>
      <c r="BB45" s="557" t="n"/>
    </row>
    <row r="46">
      <c r="A46" s="557" t="n"/>
      <c r="B46" s="557" t="n"/>
      <c r="C46" s="557" t="n"/>
      <c r="D46" s="557" t="n"/>
      <c r="E46" s="557" t="n"/>
      <c r="F46" s="557" t="n"/>
      <c r="G46" s="557" t="n"/>
      <c r="J46" s="557" t="n"/>
      <c r="K46" s="557" t="n"/>
      <c r="L46" s="557" t="n"/>
      <c r="M46" s="557" t="n"/>
      <c r="N46" s="557" t="n"/>
      <c r="O46" s="557" t="n"/>
      <c r="P46" s="557" t="n"/>
      <c r="Q46" s="557" t="n"/>
      <c r="R46" s="557" t="n"/>
      <c r="S46" s="557" t="n"/>
      <c r="T46" s="557" t="n"/>
      <c r="U46" s="557" t="n"/>
      <c r="V46" s="557" t="n"/>
      <c r="W46" s="557" t="n"/>
      <c r="X46" s="557" t="n"/>
      <c r="Y46" s="557" t="n"/>
      <c r="Z46" s="557" t="n"/>
      <c r="AC46" s="557" t="n"/>
      <c r="AD46" s="557" t="n"/>
      <c r="AE46" s="557" t="n"/>
      <c r="AF46" s="557" t="n"/>
      <c r="AG46" s="557" t="n"/>
      <c r="AH46" s="557" t="n"/>
      <c r="AI46" s="557" t="n"/>
      <c r="AJ46" s="557" t="n"/>
      <c r="AK46" s="557" t="n"/>
      <c r="AL46" s="557" t="n"/>
      <c r="AN46" s="557" t="n"/>
      <c r="AO46" s="557" t="n"/>
      <c r="AP46" s="557" t="n"/>
      <c r="AR46" s="557" t="n"/>
      <c r="AS46" s="557" t="n"/>
      <c r="AT46" s="557" t="n"/>
      <c r="AV46" s="557" t="n"/>
      <c r="AW46" s="557" t="n"/>
      <c r="AX46" s="557" t="n"/>
      <c r="AZ46" s="557" t="n"/>
      <c r="BA46" s="557" t="n"/>
      <c r="BB46" s="557" t="n"/>
    </row>
    <row r="47">
      <c r="A47" s="557" t="n"/>
      <c r="B47" s="557" t="n"/>
      <c r="C47" s="557" t="n"/>
      <c r="D47" s="557" t="n"/>
      <c r="E47" s="557" t="n"/>
      <c r="F47" s="557" t="n"/>
      <c r="G47" s="557" t="n"/>
      <c r="J47" s="557" t="n"/>
      <c r="K47" s="557" t="n"/>
      <c r="L47" s="557" t="n"/>
      <c r="M47" s="557" t="n"/>
      <c r="N47" s="557" t="n"/>
      <c r="O47" s="557" t="n"/>
      <c r="P47" s="557" t="n"/>
      <c r="Q47" s="557" t="n"/>
      <c r="R47" s="557" t="n"/>
      <c r="S47" s="557" t="n"/>
      <c r="T47" s="557" t="n"/>
      <c r="U47" s="557" t="n"/>
      <c r="V47" s="557" t="n"/>
      <c r="W47" s="557" t="n"/>
      <c r="X47" s="557" t="n"/>
      <c r="Y47" s="557" t="n"/>
      <c r="Z47" s="557" t="n"/>
      <c r="AC47" s="557" t="n"/>
      <c r="AD47" s="557" t="n"/>
      <c r="AE47" s="557" t="n"/>
      <c r="AF47" s="557" t="n"/>
      <c r="AG47" s="557" t="n"/>
      <c r="AH47" s="557" t="n"/>
      <c r="AI47" s="557" t="n"/>
      <c r="AJ47" s="557" t="n"/>
      <c r="AK47" s="557" t="n"/>
      <c r="AL47" s="557" t="n"/>
      <c r="AN47" s="557" t="n"/>
      <c r="AO47" s="557" t="n"/>
      <c r="AP47" s="557" t="n"/>
      <c r="AR47" s="557" t="n"/>
      <c r="AS47" s="557" t="n"/>
      <c r="AT47" s="557" t="n"/>
      <c r="AV47" s="557" t="n"/>
      <c r="AW47" s="557" t="n"/>
      <c r="AX47" s="557" t="n"/>
      <c r="AZ47" s="557" t="n"/>
      <c r="BA47" s="557" t="n"/>
      <c r="BB47" s="557" t="n"/>
    </row>
    <row r="48">
      <c r="A48" s="557" t="n"/>
      <c r="B48" s="557" t="n"/>
      <c r="C48" s="557" t="n"/>
      <c r="D48" s="557" t="n"/>
      <c r="E48" s="557" t="n"/>
      <c r="F48" s="557" t="n"/>
      <c r="G48" s="557" t="n"/>
      <c r="J48" s="557" t="n"/>
      <c r="K48" s="557" t="n"/>
      <c r="L48" s="557" t="n"/>
      <c r="M48" s="557" t="n"/>
      <c r="N48" s="557" t="n"/>
      <c r="O48" s="557" t="n"/>
      <c r="P48" s="557" t="n"/>
      <c r="Q48" s="557" t="n"/>
      <c r="R48" s="557" t="n"/>
      <c r="S48" s="557" t="n"/>
      <c r="T48" s="557" t="n"/>
      <c r="U48" s="557" t="n"/>
      <c r="V48" s="557" t="n"/>
      <c r="W48" s="557" t="n"/>
      <c r="X48" s="557" t="n"/>
      <c r="Y48" s="557" t="n"/>
      <c r="Z48" s="557" t="n"/>
      <c r="AC48" s="557" t="n"/>
      <c r="AD48" s="557" t="n"/>
      <c r="AE48" s="557" t="n"/>
      <c r="AF48" s="557" t="n"/>
      <c r="AG48" s="557" t="n"/>
      <c r="AH48" s="557" t="n"/>
      <c r="AI48" s="557" t="n"/>
      <c r="AJ48" s="557" t="n"/>
      <c r="AK48" s="557" t="n"/>
      <c r="AL48" s="557" t="n"/>
      <c r="AN48" s="557" t="n"/>
      <c r="AO48" s="557" t="n"/>
      <c r="AP48" s="557" t="n"/>
      <c r="AR48" s="557" t="n"/>
      <c r="AS48" s="557" t="n"/>
      <c r="AT48" s="557" t="n"/>
      <c r="AV48" s="557" t="n"/>
      <c r="AW48" s="557" t="n"/>
      <c r="AX48" s="557" t="n"/>
      <c r="AZ48" s="557" t="n"/>
      <c r="BA48" s="557" t="n"/>
      <c r="BB48" s="557" t="n"/>
    </row>
    <row r="49">
      <c r="A49" s="557" t="n"/>
      <c r="B49" s="557" t="n"/>
      <c r="C49" s="557" t="n"/>
      <c r="D49" s="557" t="n"/>
      <c r="E49" s="557" t="n"/>
      <c r="F49" s="557" t="n"/>
      <c r="G49" s="557" t="n"/>
      <c r="J49" s="557" t="n"/>
      <c r="K49" s="557" t="n"/>
      <c r="L49" s="557" t="n"/>
      <c r="M49" s="557" t="n"/>
      <c r="N49" s="557" t="n"/>
      <c r="O49" s="557" t="n"/>
      <c r="P49" s="557" t="n"/>
      <c r="Q49" s="557" t="n"/>
      <c r="R49" s="557" t="n"/>
      <c r="S49" s="557" t="n"/>
      <c r="T49" s="557" t="n"/>
      <c r="U49" s="557" t="n"/>
      <c r="V49" s="557" t="n"/>
      <c r="W49" s="557" t="n"/>
      <c r="X49" s="557" t="n"/>
      <c r="Y49" s="557" t="n"/>
      <c r="Z49" s="557" t="n"/>
      <c r="AC49" s="557" t="n"/>
      <c r="AD49" s="557" t="n"/>
      <c r="AE49" s="557" t="n"/>
      <c r="AF49" s="557" t="n"/>
      <c r="AG49" s="557" t="n"/>
      <c r="AH49" s="557" t="n"/>
      <c r="AI49" s="557" t="n"/>
      <c r="AJ49" s="557" t="n"/>
      <c r="AK49" s="557" t="n"/>
      <c r="AL49" s="557" t="n"/>
      <c r="AN49" s="557" t="n"/>
      <c r="AO49" s="557" t="n"/>
      <c r="AP49" s="557" t="n"/>
      <c r="AR49" s="557" t="n"/>
      <c r="AS49" s="557" t="n"/>
      <c r="AT49" s="557" t="n"/>
      <c r="AV49" s="557" t="n"/>
      <c r="AW49" s="557" t="n"/>
      <c r="AX49" s="557" t="n"/>
      <c r="AZ49" s="557" t="n"/>
      <c r="BA49" s="557" t="n"/>
      <c r="BB49" s="557" t="n"/>
    </row>
    <row r="50">
      <c r="A50" s="557" t="n"/>
      <c r="B50" s="557" t="n"/>
      <c r="C50" s="557" t="n"/>
      <c r="D50" s="557" t="n"/>
      <c r="E50" s="557" t="n"/>
      <c r="F50" s="557" t="n"/>
      <c r="G50" s="557" t="n"/>
      <c r="J50" s="557" t="n"/>
      <c r="K50" s="557" t="n"/>
      <c r="L50" s="557" t="n"/>
      <c r="M50" s="557" t="n"/>
      <c r="N50" s="557" t="n"/>
      <c r="O50" s="557" t="n"/>
      <c r="P50" s="557" t="n"/>
      <c r="Q50" s="557" t="n"/>
      <c r="R50" s="557" t="n"/>
      <c r="S50" s="557" t="n"/>
      <c r="T50" s="557" t="n"/>
      <c r="U50" s="557" t="n"/>
      <c r="V50" s="557" t="n"/>
      <c r="W50" s="557" t="n"/>
      <c r="X50" s="557" t="n"/>
      <c r="Y50" s="557" t="n"/>
      <c r="Z50" s="557" t="n"/>
      <c r="AC50" s="557" t="n"/>
      <c r="AD50" s="557" t="n"/>
      <c r="AE50" s="557" t="n"/>
      <c r="AF50" s="557" t="n"/>
      <c r="AG50" s="557" t="n"/>
      <c r="AH50" s="557" t="n"/>
      <c r="AI50" s="557" t="n"/>
      <c r="AJ50" s="557" t="n"/>
      <c r="AK50" s="557" t="n"/>
      <c r="AL50" s="557" t="n"/>
      <c r="AN50" s="557" t="n"/>
      <c r="AO50" s="557" t="n"/>
      <c r="AP50" s="557" t="n"/>
      <c r="AR50" s="557" t="n"/>
      <c r="AS50" s="557" t="n"/>
      <c r="AT50" s="557" t="n"/>
      <c r="AV50" s="557" t="n"/>
      <c r="AW50" s="557" t="n"/>
      <c r="AX50" s="557" t="n"/>
      <c r="AZ50" s="557" t="n"/>
      <c r="BA50" s="557" t="n"/>
      <c r="BB50" s="557" t="n"/>
    </row>
    <row r="51">
      <c r="A51" s="557" t="n"/>
      <c r="B51" s="557" t="n"/>
      <c r="C51" s="557" t="n"/>
      <c r="D51" s="557" t="n"/>
      <c r="E51" s="557" t="n"/>
      <c r="F51" s="557" t="n"/>
      <c r="G51" s="557" t="n"/>
      <c r="J51" s="557" t="n"/>
      <c r="K51" s="557" t="n"/>
      <c r="L51" s="557" t="n"/>
      <c r="M51" s="557" t="n"/>
      <c r="N51" s="557" t="n"/>
      <c r="O51" s="557" t="n"/>
      <c r="P51" s="557" t="n"/>
      <c r="Q51" s="557" t="n"/>
      <c r="R51" s="557" t="n"/>
      <c r="S51" s="557" t="n"/>
      <c r="T51" s="557" t="n"/>
      <c r="U51" s="557" t="n"/>
      <c r="V51" s="557" t="n"/>
      <c r="W51" s="557" t="n"/>
      <c r="X51" s="557" t="n"/>
      <c r="Y51" s="557" t="n"/>
      <c r="Z51" s="557" t="n"/>
      <c r="AC51" s="557" t="n"/>
      <c r="AD51" s="557" t="n"/>
      <c r="AE51" s="557" t="n"/>
      <c r="AF51" s="557" t="n"/>
      <c r="AG51" s="557" t="n"/>
      <c r="AH51" s="557" t="n"/>
      <c r="AI51" s="557" t="n"/>
      <c r="AJ51" s="557" t="n"/>
      <c r="AK51" s="557" t="n"/>
      <c r="AL51" s="557" t="n"/>
      <c r="AN51" s="557" t="n"/>
      <c r="AO51" s="557" t="n"/>
      <c r="AP51" s="557" t="n"/>
      <c r="AR51" s="557" t="n"/>
      <c r="AS51" s="557" t="n"/>
      <c r="AT51" s="557" t="n"/>
      <c r="AV51" s="557" t="n"/>
      <c r="AW51" s="557" t="n"/>
      <c r="AX51" s="557" t="n"/>
      <c r="AZ51" s="557" t="n"/>
      <c r="BA51" s="557" t="n"/>
      <c r="BB51" s="557" t="n"/>
    </row>
    <row r="52">
      <c r="A52" s="557" t="n"/>
      <c r="B52" s="557" t="n"/>
      <c r="C52" s="557" t="n"/>
      <c r="D52" s="557" t="n"/>
      <c r="E52" s="557" t="n"/>
      <c r="F52" s="557" t="n"/>
      <c r="G52" s="557" t="n"/>
      <c r="J52" s="557" t="n"/>
      <c r="K52" s="557" t="n"/>
      <c r="L52" s="557" t="n"/>
      <c r="M52" s="557" t="n"/>
      <c r="N52" s="557" t="n"/>
      <c r="O52" s="557" t="n"/>
      <c r="P52" s="557" t="n"/>
      <c r="Q52" s="557" t="n"/>
      <c r="R52" s="557" t="n"/>
      <c r="S52" s="557" t="n"/>
      <c r="T52" s="557" t="n"/>
      <c r="U52" s="557" t="n"/>
      <c r="V52" s="557" t="n"/>
      <c r="W52" s="557" t="n"/>
      <c r="X52" s="557" t="n"/>
      <c r="Y52" s="557" t="n"/>
      <c r="Z52" s="557" t="n"/>
      <c r="AC52" s="557" t="n"/>
      <c r="AD52" s="557" t="n"/>
      <c r="AE52" s="557" t="n"/>
      <c r="AF52" s="557" t="n"/>
      <c r="AG52" s="557" t="n"/>
      <c r="AH52" s="557" t="n"/>
      <c r="AI52" s="557" t="n"/>
      <c r="AJ52" s="557" t="n"/>
      <c r="AK52" s="557" t="n"/>
      <c r="AL52" s="557" t="n"/>
      <c r="AN52" s="557" t="n"/>
      <c r="AO52" s="557" t="n"/>
      <c r="AP52" s="557" t="n"/>
      <c r="AR52" s="557" t="n"/>
      <c r="AS52" s="557" t="n"/>
      <c r="AT52" s="557" t="n"/>
      <c r="AV52" s="557" t="n"/>
      <c r="AW52" s="557" t="n"/>
      <c r="AX52" s="557" t="n"/>
      <c r="AZ52" s="557" t="n"/>
      <c r="BA52" s="557" t="n"/>
      <c r="BB52" s="557" t="n"/>
    </row>
    <row r="53">
      <c r="A53" s="557" t="n"/>
      <c r="B53" s="557" t="n"/>
      <c r="C53" s="557" t="n"/>
      <c r="D53" s="557" t="n"/>
      <c r="E53" s="557" t="n"/>
      <c r="F53" s="557" t="n"/>
      <c r="G53" s="557" t="n"/>
      <c r="J53" s="557" t="n"/>
      <c r="K53" s="557" t="n"/>
      <c r="L53" s="557" t="n"/>
      <c r="M53" s="557" t="n"/>
      <c r="N53" s="557" t="n"/>
      <c r="O53" s="557" t="n"/>
      <c r="P53" s="557" t="n"/>
      <c r="Q53" s="557" t="n"/>
      <c r="R53" s="557" t="n"/>
      <c r="S53" s="557" t="n"/>
      <c r="T53" s="557" t="n"/>
      <c r="U53" s="557" t="n"/>
      <c r="V53" s="557" t="n"/>
      <c r="W53" s="557" t="n"/>
      <c r="X53" s="557" t="n"/>
      <c r="Y53" s="557" t="n"/>
      <c r="Z53" s="557" t="n"/>
      <c r="AC53" s="557" t="n"/>
      <c r="AD53" s="557" t="n"/>
      <c r="AE53" s="557" t="n"/>
      <c r="AF53" s="557" t="n"/>
      <c r="AG53" s="557" t="n"/>
      <c r="AH53" s="557" t="n"/>
      <c r="AI53" s="557" t="n"/>
      <c r="AJ53" s="557" t="n"/>
      <c r="AK53" s="557" t="n"/>
      <c r="AL53" s="557" t="n"/>
      <c r="AN53" s="557" t="n"/>
      <c r="AO53" s="557" t="n"/>
      <c r="AP53" s="557" t="n"/>
      <c r="AR53" s="557" t="n"/>
      <c r="AS53" s="557" t="n"/>
      <c r="AT53" s="557" t="n"/>
      <c r="AV53" s="557" t="n"/>
      <c r="AW53" s="557" t="n"/>
      <c r="AX53" s="557" t="n"/>
      <c r="AZ53" s="557" t="n"/>
      <c r="BA53" s="557" t="n"/>
      <c r="BB53" s="557" t="n"/>
    </row>
    <row r="54">
      <c r="A54" s="557" t="n"/>
      <c r="B54" s="557" t="n"/>
      <c r="C54" s="557" t="n"/>
      <c r="D54" s="557" t="n"/>
      <c r="E54" s="557" t="n"/>
      <c r="F54" s="557" t="n"/>
      <c r="G54" s="557" t="n"/>
      <c r="J54" s="557" t="n"/>
      <c r="K54" s="557" t="n"/>
      <c r="L54" s="557" t="n"/>
      <c r="M54" s="557" t="n"/>
      <c r="N54" s="557" t="n"/>
      <c r="O54" s="557" t="n"/>
      <c r="P54" s="557" t="n"/>
      <c r="Q54" s="557" t="n"/>
      <c r="R54" s="557" t="n"/>
      <c r="S54" s="557" t="n"/>
      <c r="T54" s="557" t="n"/>
      <c r="U54" s="557" t="n"/>
      <c r="V54" s="557" t="n"/>
      <c r="W54" s="557" t="n"/>
      <c r="X54" s="557" t="n"/>
      <c r="Y54" s="557" t="n"/>
      <c r="Z54" s="557" t="n"/>
      <c r="AC54" s="557" t="n"/>
      <c r="AD54" s="557" t="n"/>
      <c r="AE54" s="557" t="n"/>
      <c r="AF54" s="557" t="n"/>
      <c r="AG54" s="557" t="n"/>
      <c r="AH54" s="557" t="n"/>
      <c r="AI54" s="557" t="n"/>
      <c r="AJ54" s="557" t="n"/>
      <c r="AK54" s="557" t="n"/>
      <c r="AL54" s="557" t="n"/>
      <c r="AN54" s="557" t="n"/>
      <c r="AO54" s="557" t="n"/>
      <c r="AP54" s="557" t="n"/>
      <c r="AR54" s="557" t="n"/>
      <c r="AS54" s="557" t="n"/>
      <c r="AT54" s="557" t="n"/>
      <c r="AV54" s="557" t="n"/>
      <c r="AW54" s="557" t="n"/>
      <c r="AX54" s="557" t="n"/>
      <c r="AZ54" s="557" t="n"/>
      <c r="BA54" s="557" t="n"/>
      <c r="BB54" s="557" t="n"/>
    </row>
    <row r="55">
      <c r="AC55" s="557" t="n"/>
      <c r="AD55" s="557" t="n"/>
      <c r="AE55" s="557" t="n"/>
      <c r="AF55" s="557" t="n"/>
      <c r="AG55" s="557" t="n"/>
      <c r="AH55" s="557" t="n"/>
      <c r="AI55" s="557" t="n"/>
      <c r="AJ55" s="557" t="n"/>
      <c r="AK55" s="557" t="n"/>
      <c r="AL55" s="557" t="n"/>
      <c r="AN55" s="557" t="n"/>
      <c r="AO55" s="557" t="n"/>
      <c r="AP55" s="557" t="n"/>
      <c r="AR55" s="557" t="n"/>
      <c r="AS55" s="557" t="n"/>
      <c r="AT55" s="557" t="n"/>
      <c r="AV55" s="557" t="n"/>
      <c r="AW55" s="557" t="n"/>
      <c r="AX55" s="557" t="n"/>
      <c r="AZ55" s="557" t="n"/>
      <c r="BA55" s="557" t="n"/>
      <c r="BB55" s="557" t="n"/>
    </row>
  </sheetData>
  <mergeCells count="47">
    <mergeCell ref="AV17:AX17"/>
    <mergeCell ref="AF16:AH16"/>
    <mergeCell ref="AN16:AP16"/>
    <mergeCell ref="AO2:AP2"/>
    <mergeCell ref="AJ19:AL19"/>
    <mergeCell ref="AW2:AX2"/>
    <mergeCell ref="AR19:AT19"/>
    <mergeCell ref="BA2:BB2"/>
    <mergeCell ref="AJ18:AL18"/>
    <mergeCell ref="AJ3:AL3"/>
    <mergeCell ref="AR16:AT16"/>
    <mergeCell ref="AZ16:BB16"/>
    <mergeCell ref="AJ24:AL24"/>
    <mergeCell ref="AV19:AX19"/>
    <mergeCell ref="AR24:AT24"/>
    <mergeCell ref="AV24:AX24"/>
    <mergeCell ref="AN18:AP18"/>
    <mergeCell ref="AK15:AL15"/>
    <mergeCell ref="AG2:AH2"/>
    <mergeCell ref="AO15:AP15"/>
    <mergeCell ref="AZ18:BB18"/>
    <mergeCell ref="AW15:AX15"/>
    <mergeCell ref="AF17:AH17"/>
    <mergeCell ref="AZ3:BB3"/>
    <mergeCell ref="AN17:AP17"/>
    <mergeCell ref="AR17:AT17"/>
    <mergeCell ref="AZ17:BB17"/>
    <mergeCell ref="AJ16:AL16"/>
    <mergeCell ref="AF19:AH19"/>
    <mergeCell ref="AS2:AT2"/>
    <mergeCell ref="BA15:BB15"/>
    <mergeCell ref="AR3:AT3"/>
    <mergeCell ref="AN19:AP19"/>
    <mergeCell ref="AF18:AH18"/>
    <mergeCell ref="AF3:AH3"/>
    <mergeCell ref="AN3:AP3"/>
    <mergeCell ref="AR18:AT18"/>
    <mergeCell ref="AV16:AX16"/>
    <mergeCell ref="AN24:AP24"/>
    <mergeCell ref="AZ19:BB19"/>
    <mergeCell ref="AG15:AH15"/>
    <mergeCell ref="AZ24:BB24"/>
    <mergeCell ref="AK2:AL2"/>
    <mergeCell ref="AV18:AX18"/>
    <mergeCell ref="AS15:AT15"/>
    <mergeCell ref="AV3:AX3"/>
    <mergeCell ref="AJ17:AL17"/>
  </mergeCells>
  <conditionalFormatting sqref="S2">
    <cfRule type="containsText" priority="2" operator="containsText" dxfId="0" text="Error! please choose width not higher than 1220">
      <formula>NOT(ISERROR(SEARCH("Error! please choose width not higher than 1220",S2)))</formula>
    </cfRule>
  </conditionalFormatting>
  <conditionalFormatting sqref="T2">
    <cfRule type="containsText" priority="1" operator="containsText" dxfId="0" text="Error! please choose width not higher than 1220">
      <formula>NOT(ISERROR(SEARCH("Error! please choose width not higher than 1220",T2)))</formula>
    </cfRule>
  </conditionalFormatting>
  <dataValidations count="13">
    <dataValidation sqref="B44" showDropDown="0" showInputMessage="1" showErrorMessage="1" allowBlank="1" errorTitle="MOQ is 5K Meter" operator="greaterThan"/>
    <dataValidation sqref="B46" showDropDown="0" showInputMessage="1" showErrorMessage="1" allowBlank="1" type="list">
      <formula1>"Y,N"</formula1>
    </dataValidation>
    <dataValidation sqref="B47" showDropDown="0" showInputMessage="1" showErrorMessage="1" allowBlank="1" errorTitle="Length of reel must be 500M+ " type="whole" operator="greaterThan">
      <formula1>500</formula1>
    </dataValidation>
    <dataValidation sqref="AG4 AK4 AO4 AS4 AW4" showDropDown="0" showInputMessage="1" showErrorMessage="1" allowBlank="1" type="list">
      <formula1>"TIPA 302FG,TIPA 302FG W,TIPA 306M,TIPA 306W,TIPA 312 MFG,TIPA 312MFGW"</formula1>
    </dataValidation>
    <dataValidation sqref="AG6 AK6 AO6 AS6 AW6" showDropDown="0" showInputMessage="1" showErrorMessage="1" allowBlank="1" type="list">
      <formula1>"20,25,30,35,40,45,50,55,60"</formula1>
    </dataValidation>
    <dataValidation sqref="AG11 AK11 AO11 AS11 AW11 BA11" showDropDown="0" showInputMessage="1" showErrorMessage="1" allowBlank="1" type="list">
      <formula1>ShippingRoutes</formula1>
    </dataValidation>
    <dataValidation sqref="AG22 AK22 AO22 AS22 AW22 BA22" showDropDown="0" showInputMessage="1" showErrorMessage="1" allowBlank="1" type="list">
      <formula1>"By Weight,By Length"</formula1>
    </dataValidation>
    <dataValidation sqref="AG12 AK12 AO12 AS12 AW12 BA12" showDropDown="0" showInputMessage="1" showErrorMessage="1" allowBlank="1" type="list">
      <formula1>"Printed,Not Printed"</formula1>
    </dataValidation>
    <dataValidation sqref="AG13 AK13 AO13 AS13 AW13 BA13" showDropDown="0" showInputMessage="1" showErrorMessage="1" allowBlank="1" type="list">
      <formula1>"0,1-2,3-4,5-8"</formula1>
    </dataValidation>
    <dataValidation sqref="AG14 AK14 AO14 AS14 AW14 BA14" showDropDown="0" showInputMessage="1" showErrorMessage="1" allowBlank="1" type="list">
      <formula1>"Marma,Bastin"</formula1>
    </dataValidation>
    <dataValidation sqref="J3" showDropDown="0" showInputMessage="1" showErrorMessage="1" allowBlank="1" type="list">
      <formula1>"HELPER!$O$2:$O$4"</formula1>
    </dataValidation>
    <dataValidation sqref="AG7 AK7 AO7 AS7 AW7 BA7" showDropDown="0" showInputMessage="1" showErrorMessage="1" allowBlank="1" type="list">
      <formula1>"1.25"</formula1>
    </dataValidation>
    <dataValidation sqref="AG10 AK10 AO10 AS10 AW10 BA10" showDropDown="0" showInputMessage="1" showErrorMessage="1" allowBlank="1" type="list">
      <formula1>"0.15,1.15,510"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FFFF00"/>
    <outlinePr summaryBelow="1" summaryRight="1"/>
    <pageSetUpPr/>
  </sheetPr>
  <dimension ref="A1:AF21"/>
  <sheetViews>
    <sheetView zoomScaleNormal="100" workbookViewId="0">
      <selection activeCell="D20" sqref="D20"/>
    </sheetView>
  </sheetViews>
  <sheetFormatPr baseColWidth="8" defaultRowHeight="15"/>
  <cols>
    <col width="13.140625" bestFit="1" customWidth="1" style="430" min="1" max="1"/>
    <col width="13.140625" customWidth="1" style="430" min="2" max="2"/>
    <col width="15.140625" customWidth="1" style="430" min="3" max="3"/>
    <col width="15" customWidth="1" style="430" min="4" max="4"/>
    <col width="22.42578125" customWidth="1" style="430" min="5" max="5"/>
    <col width="7.85546875" customWidth="1" style="430" min="6" max="6"/>
    <col width="17.140625" customWidth="1" style="430" min="7" max="7"/>
    <col width="13.140625" bestFit="1" customWidth="1" style="430" min="8" max="8"/>
    <col width="14.42578125" customWidth="1" style="430" min="9" max="9"/>
    <col width="13.85546875" customWidth="1" style="430" min="10" max="10"/>
    <col width="19.140625" customWidth="1" style="430" min="11" max="11"/>
    <col width="22.85546875" customWidth="1" style="430" min="12" max="12"/>
    <col width="15.7109375" customWidth="1" style="430" min="13" max="13"/>
    <col width="18.85546875" customWidth="1" style="430" min="14" max="14"/>
    <col width="26.85546875" customWidth="1" style="430" min="15" max="15"/>
    <col width="26.42578125" customWidth="1" style="430" min="16" max="16"/>
    <col width="24.85546875" customWidth="1" style="430" min="17" max="17"/>
    <col width="17.5703125" customWidth="1" style="430" min="18" max="18"/>
    <col width="26.140625" customWidth="1" style="430" min="19" max="19"/>
    <col width="24.5703125" customWidth="1" style="430" min="20" max="21"/>
    <col width="13.85546875" customWidth="1" style="430" min="22" max="22"/>
    <col width="15.140625" customWidth="1" style="430" min="23" max="23"/>
    <col width="27.28515625" bestFit="1" customWidth="1" style="430" min="24" max="24"/>
    <col width="17.85546875" customWidth="1" style="430" min="25" max="25"/>
    <col width="19.5703125" customWidth="1" style="430" min="26" max="26"/>
    <col width="18.140625" bestFit="1" customWidth="1" style="430" min="27" max="27"/>
    <col width="12.5703125" customWidth="1" style="430" min="28" max="28"/>
    <col width="20.140625" customWidth="1" style="430" min="29" max="29"/>
    <col width="9" customWidth="1" style="430" min="30" max="30"/>
    <col width="22.85546875" bestFit="1" customWidth="1" style="430" min="32" max="32"/>
  </cols>
  <sheetData>
    <row r="1">
      <c r="D1" s="451" t="n"/>
      <c r="E1" s="451" t="n"/>
      <c r="N1" s="451" t="n"/>
      <c r="O1" s="451" t="n"/>
    </row>
    <row r="2" ht="15.75" customHeight="1" s="430" thickBot="1">
      <c r="D2" s="451" t="n"/>
      <c r="E2" s="451" t="n"/>
      <c r="F2" s="451" t="n"/>
      <c r="G2" s="451" t="n"/>
      <c r="H2" s="451" t="n"/>
      <c r="I2" s="451" t="n"/>
      <c r="J2" s="448" t="n"/>
      <c r="L2" s="451" t="n"/>
      <c r="M2" s="451" t="n"/>
      <c r="N2" s="451" t="n"/>
      <c r="O2" s="451" t="n"/>
      <c r="P2" t="inlineStr">
        <is>
          <t>µ</t>
        </is>
      </c>
      <c r="S2" s="500" t="n"/>
      <c r="T2" s="500" t="n"/>
      <c r="U2" s="500" t="n"/>
      <c r="V2" s="500" t="n"/>
      <c r="W2" s="500" t="n"/>
      <c r="AC2" s="57" t="n">
        <v>0.25</v>
      </c>
    </row>
    <row r="3" customFormat="1" s="121">
      <c r="A3" s="92" t="inlineStr">
        <is>
          <t>Dropdown List</t>
        </is>
      </c>
      <c r="B3" s="92" t="inlineStr">
        <is>
          <t>Dropdown list</t>
        </is>
      </c>
      <c r="C3" s="93" t="inlineStr">
        <is>
          <t>Manual</t>
        </is>
      </c>
      <c r="D3" s="93" t="inlineStr">
        <is>
          <t>Manual</t>
        </is>
      </c>
      <c r="E3" s="93" t="inlineStr">
        <is>
          <t>Manual</t>
        </is>
      </c>
      <c r="F3" s="93" t="inlineStr">
        <is>
          <t>Manual</t>
        </is>
      </c>
      <c r="G3" s="93" t="inlineStr">
        <is>
          <t>Manual</t>
        </is>
      </c>
      <c r="H3" s="92" t="inlineStr">
        <is>
          <t>Dropdown List</t>
        </is>
      </c>
      <c r="I3" s="92" t="inlineStr">
        <is>
          <t>Dropdown List</t>
        </is>
      </c>
      <c r="J3" s="92" t="inlineStr">
        <is>
          <t>Dropdown List</t>
        </is>
      </c>
      <c r="K3" s="92" t="inlineStr">
        <is>
          <t>Dropdown List</t>
        </is>
      </c>
      <c r="L3" s="93" t="inlineStr">
        <is>
          <t>Manual</t>
        </is>
      </c>
      <c r="M3" s="92" t="inlineStr">
        <is>
          <t>Dropdown List</t>
        </is>
      </c>
      <c r="N3" s="93" t="inlineStr">
        <is>
          <t>Calculation</t>
        </is>
      </c>
      <c r="O3" s="93" t="inlineStr">
        <is>
          <t>Calculation</t>
        </is>
      </c>
      <c r="P3" s="93" t="inlineStr">
        <is>
          <t>Calculation</t>
        </is>
      </c>
      <c r="Q3" s="93" t="inlineStr">
        <is>
          <t>Dropdown</t>
        </is>
      </c>
      <c r="R3" s="93" t="inlineStr">
        <is>
          <t>Calculation</t>
        </is>
      </c>
      <c r="S3" s="93" t="inlineStr">
        <is>
          <t>Calculation</t>
        </is>
      </c>
      <c r="T3" s="93" t="inlineStr">
        <is>
          <t>Calculation</t>
        </is>
      </c>
      <c r="U3" s="92" t="inlineStr">
        <is>
          <t>Dropdown List</t>
        </is>
      </c>
      <c r="V3" s="92" t="inlineStr">
        <is>
          <t>Dropdown List</t>
        </is>
      </c>
      <c r="W3" s="93" t="inlineStr">
        <is>
          <t>Calculation</t>
        </is>
      </c>
      <c r="X3" s="93" t="inlineStr">
        <is>
          <t>Calculation</t>
        </is>
      </c>
      <c r="Y3" s="93" t="inlineStr">
        <is>
          <t>Calculation</t>
        </is>
      </c>
      <c r="Z3" s="102" t="inlineStr">
        <is>
          <t>Manual</t>
        </is>
      </c>
      <c r="AA3" s="93" t="inlineStr">
        <is>
          <t>Calculation</t>
        </is>
      </c>
      <c r="AB3" s="93" t="inlineStr">
        <is>
          <t>Calculation</t>
        </is>
      </c>
      <c r="AC3" s="93" t="inlineStr">
        <is>
          <t>Calculation</t>
        </is>
      </c>
      <c r="AD3" s="93" t="inlineStr">
        <is>
          <t>Calculation</t>
        </is>
      </c>
    </row>
    <row r="4" ht="30.75" customHeight="1" s="430" thickBot="1">
      <c r="A4" s="88" t="inlineStr">
        <is>
          <t>Bag Type</t>
        </is>
      </c>
      <c r="B4" s="89" t="inlineStr">
        <is>
          <t>Film Type</t>
        </is>
      </c>
      <c r="C4" s="89" t="inlineStr">
        <is>
          <t>Bags amount</t>
        </is>
      </c>
      <c r="D4" s="89" t="inlineStr">
        <is>
          <t>Height (mm)</t>
        </is>
      </c>
      <c r="E4" s="89" t="inlineStr">
        <is>
          <t>Repeat = Width (mm)</t>
        </is>
      </c>
      <c r="F4" s="89" t="inlineStr">
        <is>
          <t>Flap</t>
        </is>
      </c>
      <c r="G4" s="89" t="inlineStr">
        <is>
          <t>Bottom Gusset</t>
        </is>
      </c>
      <c r="H4" s="89" t="inlineStr">
        <is>
          <t>Film</t>
        </is>
      </c>
      <c r="I4" s="89" t="inlineStr">
        <is>
          <t>Cast/ Blown</t>
        </is>
      </c>
      <c r="J4" s="89" t="inlineStr">
        <is>
          <t>PR/ Non PR</t>
        </is>
      </c>
      <c r="K4" s="89" t="inlineStr">
        <is>
          <t>Number of colors</t>
        </is>
      </c>
      <c r="L4" s="89" t="inlineStr">
        <is>
          <t>Total film Width (mm)</t>
        </is>
      </c>
      <c r="M4" s="89" t="inlineStr">
        <is>
          <t>Thickness (µ)</t>
        </is>
      </c>
      <c r="N4" s="90" t="inlineStr">
        <is>
          <t>Bag's Weight (kg)</t>
        </is>
      </c>
      <c r="O4" s="89" t="inlineStr">
        <is>
          <t>Bag's Weight + Fall out (kg)</t>
        </is>
      </c>
      <c r="P4" s="89" t="inlineStr">
        <is>
          <t>Raw material cost (per kg)</t>
        </is>
      </c>
      <c r="Q4" s="89" t="inlineStr">
        <is>
          <t>Shipment Destination</t>
        </is>
      </c>
      <c r="R4" s="89" t="inlineStr">
        <is>
          <t>Shipment costs</t>
        </is>
      </c>
      <c r="S4" s="89" t="inlineStr">
        <is>
          <t>Raw material cost per bag</t>
        </is>
      </c>
      <c r="T4" s="89" t="inlineStr">
        <is>
          <t>Length (m)</t>
        </is>
      </c>
      <c r="U4" s="89" t="inlineStr">
        <is>
          <t>Set up waste</t>
        </is>
      </c>
      <c r="V4" s="89" t="inlineStr">
        <is>
          <t>Print waste</t>
        </is>
      </c>
      <c r="W4" s="89" t="inlineStr">
        <is>
          <t>Zipper waste</t>
        </is>
      </c>
      <c r="X4" s="89" t="inlineStr">
        <is>
          <t>Total waste</t>
        </is>
      </c>
      <c r="Y4" s="91" t="inlineStr">
        <is>
          <t>Converting cost</t>
        </is>
      </c>
      <c r="Z4" s="103" t="inlineStr">
        <is>
          <t>Converting cost - Manual alternative</t>
        </is>
      </c>
      <c r="AA4" s="88" t="inlineStr">
        <is>
          <t>Zipper</t>
        </is>
      </c>
      <c r="AB4" s="89" t="inlineStr">
        <is>
          <t>Total cost</t>
        </is>
      </c>
      <c r="AC4" s="580" t="inlineStr">
        <is>
          <t>Price for customer</t>
        </is>
      </c>
      <c r="AD4" s="91" t="inlineStr">
        <is>
          <t>Profit</t>
        </is>
      </c>
      <c r="AF4" s="109" t="inlineStr">
        <is>
          <t>Price for customer-USD</t>
        </is>
      </c>
    </row>
    <row r="5">
      <c r="A5" t="inlineStr">
        <is>
          <t>Zipper bag</t>
        </is>
      </c>
      <c r="B5" t="inlineStr">
        <is>
          <t>TIPA 302FG</t>
        </is>
      </c>
      <c r="C5" s="127" t="n">
        <v>56000</v>
      </c>
      <c r="D5" t="n">
        <v>330</v>
      </c>
      <c r="E5" t="n">
        <v>300</v>
      </c>
      <c r="F5" t="n">
        <v>30</v>
      </c>
      <c r="G5" t="n">
        <v>0</v>
      </c>
      <c r="H5" t="inlineStr">
        <is>
          <t>TIPA 302FG</t>
        </is>
      </c>
      <c r="I5" t="inlineStr">
        <is>
          <t>Cast</t>
        </is>
      </c>
      <c r="J5" t="inlineStr">
        <is>
          <t>Printed</t>
        </is>
      </c>
      <c r="K5" s="356" t="inlineStr">
        <is>
          <t>5-8</t>
        </is>
      </c>
      <c r="L5" s="581">
        <f>IFERROR(IF(OR(D5=HELPER!Q4,D5=HELPER!$Q$5),D5*2+F5+G5*2,D5*2+G5*2)," ")</f>
        <v/>
      </c>
      <c r="M5" t="n">
        <v>40</v>
      </c>
      <c r="N5" s="82">
        <f>(E5/1000)*(L5/1000)*(M5/1000)*1.25</f>
        <v/>
      </c>
      <c r="O5" s="83">
        <f>N5*(1+X5)</f>
        <v/>
      </c>
      <c r="P5">
        <f>IFERROR(VLOOKUP(B5,BOM!$Q$1:$R$12,2,FALSE),"")</f>
        <v/>
      </c>
      <c r="Q5" t="inlineStr">
        <is>
          <t>Europe to US</t>
        </is>
      </c>
      <c r="R5">
        <f>IFERROR(IF(Q5="Europe to Canada",IF(C5*O5&lt;1000,(C5*O5/1000)*VLOOKUP(1000,HELPER!$AG$4:$AH$8,2,FALSE)/(C5*O5),VLOOKUP(C5*O5,HELPER!$AG$4:$AH$8,2,TRUE)/(C5*O5)),VLOOKUP(Q5,HELPER!$AF$2:$AH$3,3,FALSE)),0)</f>
        <v/>
      </c>
      <c r="S5" s="115">
        <f>IFERROR(Table6[[#This Row],[Bag''s Weight + Fall out (kg)]]*(Table6[[#This Row],[Raw material cost (per kg)]]+Table6[[#This Row],[Shipment costs]])," ")</f>
        <v/>
      </c>
      <c r="T5">
        <f>C5*E5/1000</f>
        <v/>
      </c>
      <c r="U5" t="n">
        <v>300</v>
      </c>
      <c r="V5" t="n">
        <v>300</v>
      </c>
      <c r="W5" s="84">
        <f>IFERROR((0.05+SUM(U5,V5)/T5)," ")</f>
        <v/>
      </c>
      <c r="X5" s="582">
        <f>IFERROR((0.075+SUM(U5+V5)/T5+W5),"no data yet")</f>
        <v/>
      </c>
      <c r="Y5" s="101">
        <f>IF(OR(C5="",C5=0),"",((D5*E5)/1000000)*0.175*VLOOKUP(C5,HELPER!$AS$3:$AT$7,2,TRUE)*1.2*1.15*IF((D5+E5)*2&gt;=1200,1.5,1))</f>
        <v/>
      </c>
      <c r="Z5" s="104" t="n"/>
      <c r="AA5" s="582">
        <f>IF(A5=HELPER!$Q$2,HELPER!$AD$2,0)</f>
        <v/>
      </c>
      <c r="AB5" s="127">
        <f>IFERROR((P5+U5+V5+W5+X5+IF(Z5&lt;&gt;"",Z5,Y5)+AA5),0)</f>
        <v/>
      </c>
      <c r="AC5" s="583">
        <f>IFERROR(AB5/(1-$AC$2)," ")</f>
        <v/>
      </c>
      <c r="AD5" s="87">
        <f>AC5-AB5</f>
        <v/>
      </c>
      <c r="AF5" s="584">
        <f>Table6[[#This Row],[Price for customer]]*HELPER!$AK$2</f>
        <v/>
      </c>
    </row>
    <row r="6">
      <c r="A6" t="inlineStr">
        <is>
          <t>Open Bag</t>
        </is>
      </c>
      <c r="B6" t="inlineStr">
        <is>
          <t>TIPA 312 FG</t>
        </is>
      </c>
      <c r="C6" s="127" t="n"/>
      <c r="L6" s="581">
        <f>IFERROR(IF(OR(D6=HELPER!Q5,D6=HELPER!$Q$5),D6*2+F6+G6*2,D6*2+G6*2)," ")</f>
        <v/>
      </c>
      <c r="N6" s="82">
        <f>(E6/1000)*(L6/1000)*(M6/1000)*1.25</f>
        <v/>
      </c>
      <c r="O6" s="83">
        <f>N6*(1+X6)</f>
        <v/>
      </c>
      <c r="P6">
        <f>IFERROR(VLOOKUP(B6,BOM!$Q$1:$R$12,2,FALSE),"")</f>
        <v/>
      </c>
      <c r="R6">
        <f>IFERROR(IF(Q6="Europe to Canada",IF(C6*O6&lt;1000,(C6*O6/1000)*VLOOKUP(1000,HELPER!$AG$4:$AH$8,2,FALSE)/(C6*O6),VLOOKUP(C6*O6,HELPER!$AG$4:$AH$8,2,TRUE)/(C6*O6)),VLOOKUP(Q6,HELPER!$AF$2:$AH$3,3,FALSE)),0)</f>
        <v/>
      </c>
      <c r="S6" s="115">
        <f>IFERROR(Table6[[#This Row],[Bag''s Weight + Fall out (kg)]]*(Table6[[#This Row],[Raw material cost (per kg)]]+Table6[[#This Row],[Shipment costs]])," ")</f>
        <v/>
      </c>
      <c r="W6" s="84">
        <f>IFERROR((0.05+SUM(U6,V6)/T6)," ")</f>
        <v/>
      </c>
      <c r="Y6" s="101">
        <f>IF(OR(C6="",C6=0),"",((D6*E6)/1000000)*0.175*VLOOKUP(C6,HELPER!$AS$3:$AT$7,2,TRUE)*1.2*1.15*IF((D6+E6)*2&gt;=1200,1.5,1))</f>
        <v/>
      </c>
      <c r="Z6" s="104" t="n"/>
      <c r="AA6" s="127">
        <f>IF(A6=HELPER!$Q$2,HELPER!$AD$2,0)</f>
        <v/>
      </c>
      <c r="AB6" s="127">
        <f>IFERROR((P6+U6+V6+W6+X6+IF(Z6&lt;&gt;"",Z6,Y6)+AA6),0)</f>
        <v/>
      </c>
      <c r="AC6" s="583">
        <f>IFERROR(AB6/(1-$AC$2)," ")</f>
        <v/>
      </c>
      <c r="AF6" s="584">
        <f>Table6[[#This Row],[Price for customer]]*HELPER!$AK$2</f>
        <v/>
      </c>
    </row>
    <row r="7">
      <c r="C7" s="127" t="n"/>
      <c r="D7" s="455" t="n"/>
      <c r="L7" s="581">
        <f>IFERROR(IF(OR(D7=HELPER!Q6,D7=HELPER!$Q$5),D7*2+F7+G7*2,D7*2+G7*2)," ")</f>
        <v/>
      </c>
      <c r="N7" s="82">
        <f>(E7/1000)*(L7/1000)*(M7/1000)*1.25</f>
        <v/>
      </c>
      <c r="O7" s="83">
        <f>N7*(1+X7)</f>
        <v/>
      </c>
      <c r="P7">
        <f>IFERROR(VLOOKUP(B7,BOM!$Q$1:$R$12,2,FALSE),"")</f>
        <v/>
      </c>
      <c r="R7">
        <f>IFERROR(IF(Q7="Europe to Canada",IF(C7*O7&lt;1000,(C7*O7/1000)*VLOOKUP(1000,HELPER!$AG$4:$AH$8,2,FALSE)/(C7*O7),VLOOKUP(C7*O7,HELPER!$AG$4:$AH$8,2,TRUE)/(C7*O7)),VLOOKUP(Q7,HELPER!$AF$2:$AH$3,3,FALSE)),0)</f>
        <v/>
      </c>
      <c r="S7" s="115">
        <f>IFERROR(Table6[[#This Row],[Bag''s Weight + Fall out (kg)]]*(Table6[[#This Row],[Raw material cost (per kg)]]+Table6[[#This Row],[Shipment costs]])," ")</f>
        <v/>
      </c>
      <c r="W7" s="84">
        <f>IFERROR((0.05+SUM(U7,V7)/T7)," ")</f>
        <v/>
      </c>
      <c r="Y7" s="101">
        <f>IF(OR(C7="",C7=0),"",((D7*E7)/1000000)*0.175*VLOOKUP(C7,HELPER!$AS$3:$AT$7,2,TRUE)*1.2*1.15*IF((D7+E7)*2&gt;=1200,1.5,1))</f>
        <v/>
      </c>
      <c r="Z7" s="104" t="n"/>
      <c r="AA7" s="127">
        <f>IF(A7=HELPER!$Q$2,HELPER!$AD$2,0)</f>
        <v/>
      </c>
      <c r="AB7" s="127">
        <f>IFERROR((P7+U7+V7+W7+X7+IF(Z7&lt;&gt;"",Z7,Y7)+AA7),0)</f>
        <v/>
      </c>
      <c r="AC7" s="583">
        <f>IFERROR(AB7/(1-$AC$2)," ")</f>
        <v/>
      </c>
      <c r="AF7" s="584">
        <f>Table6[[#This Row],[Price for customer]]*HELPER!$AK$2</f>
        <v/>
      </c>
    </row>
    <row r="8">
      <c r="C8" s="127" t="n"/>
      <c r="L8" s="581">
        <f>IFERROR(IF(OR(D8=HELPER!Q7,D8=HELPER!$Q$5),D8*2+F8+G8*2,D8*2+G8*2)," ")</f>
        <v/>
      </c>
      <c r="N8" s="82">
        <f>(E8/1000)*(L8/1000)*(M8/1000)*1.25</f>
        <v/>
      </c>
      <c r="O8" s="83">
        <f>N8*(1+X8)</f>
        <v/>
      </c>
      <c r="P8">
        <f>IFERROR(VLOOKUP(B8,BOM!$Q$1:$R$12,2,FALSE),"")</f>
        <v/>
      </c>
      <c r="R8">
        <f>IFERROR(IF(Q8="Europe to Canada",IF(C8*O8&lt;1000,(C8*O8/1000)*VLOOKUP(1000,HELPER!$AG$4:$AH$8,2,FALSE)/(C8*O8),VLOOKUP(C8*O8,HELPER!$AG$4:$AH$8,2,TRUE)/(C8*O8)),VLOOKUP(Q8,HELPER!$AF$2:$AH$3,3,FALSE)),0)</f>
        <v/>
      </c>
      <c r="S8" s="115">
        <f>IFERROR(Table6[[#This Row],[Bag''s Weight + Fall out (kg)]]*(Table6[[#This Row],[Raw material cost (per kg)]]+Table6[[#This Row],[Shipment costs]])," ")</f>
        <v/>
      </c>
      <c r="W8" s="84">
        <f>IFERROR((0.05+SUM(U8,V8)/T8)," ")</f>
        <v/>
      </c>
      <c r="Y8" s="101">
        <f>IF(OR(C8="",C8=0),"",((D8*E8)/1000000)*0.175*VLOOKUP(C8,HELPER!$AS$3:$AT$7,2,TRUE)*1.2*1.15*IF((D8+E8)*2&gt;=1200,1.5,1))</f>
        <v/>
      </c>
      <c r="Z8" s="104" t="n"/>
      <c r="AA8" s="127">
        <f>IF(A8=HELPER!$Q$2,HELPER!$AD$2,0)</f>
        <v/>
      </c>
      <c r="AB8" s="127">
        <f>IFERROR((P8+U8+V8+W8+X8+IF(Z8&lt;&gt;"",Z8,Y8)+AA8),0)</f>
        <v/>
      </c>
      <c r="AC8" s="583">
        <f>IFERROR(AB8/(1-$AC$2)," ")</f>
        <v/>
      </c>
      <c r="AF8" s="584">
        <f>Table6[[#This Row],[Price for customer]]*HELPER!$AK$2</f>
        <v/>
      </c>
    </row>
    <row r="9">
      <c r="C9" s="127" t="n"/>
      <c r="L9" s="581">
        <f>IFERROR(IF(OR(D9=HELPER!Q8,D9=HELPER!$Q$5),D9*2+F9+G9*2,D9*2+G9*2)," ")</f>
        <v/>
      </c>
      <c r="N9" s="82">
        <f>(E9/1000)*(L9/1000)*(M9/1000)*1.25</f>
        <v/>
      </c>
      <c r="O9" s="83">
        <f>N9*(1+X9)</f>
        <v/>
      </c>
      <c r="P9">
        <f>IFERROR(VLOOKUP(B9,BOM!$Q$1:$R$12,2,FALSE),"")</f>
        <v/>
      </c>
      <c r="R9">
        <f>IFERROR(IF(Q9="Europe to Canada",IF(C9*O9&lt;1000,(C9*O9/1000)*VLOOKUP(1000,HELPER!$AG$4:$AH$8,2,FALSE)/(C9*O9),VLOOKUP(C9*O9,HELPER!$AG$4:$AH$8,2,TRUE)/(C9*O9)),VLOOKUP(Q9,HELPER!$AF$2:$AH$3,3,FALSE)),0)</f>
        <v/>
      </c>
      <c r="S9" s="115">
        <f>IFERROR(Table6[[#This Row],[Bag''s Weight + Fall out (kg)]]*(Table6[[#This Row],[Raw material cost (per kg)]]+Table6[[#This Row],[Shipment costs]])," ")</f>
        <v/>
      </c>
      <c r="W9" s="84">
        <f>IFERROR((0.05+SUM(U9,V9)/T9)," ")</f>
        <v/>
      </c>
      <c r="Y9" s="101">
        <f>IF(OR(C9="",C9=0),"",((D9*E9)/1000000)*0.175*VLOOKUP(C9,HELPER!$AS$3:$AT$7,2,TRUE)*1.2*1.15*IF((D9+E9)*2&gt;=1200,1.5,1))</f>
        <v/>
      </c>
      <c r="Z9" s="104" t="n"/>
      <c r="AA9" s="127">
        <f>IF(A9=HELPER!$Q$2,HELPER!$AD$2,0)</f>
        <v/>
      </c>
      <c r="AB9" s="127">
        <f>IFERROR((P9+U9+V9+W9+X9+IF(Z9&lt;&gt;"",Z9,Y9)+AA9),0)</f>
        <v/>
      </c>
      <c r="AC9" s="583">
        <f>IFERROR(AB9/(1-$AC$2)," ")</f>
        <v/>
      </c>
      <c r="AF9" s="584">
        <f>Table6[[#This Row],[Price for customer]]*HELPER!$AK$2</f>
        <v/>
      </c>
    </row>
    <row r="10">
      <c r="C10" s="127" t="n"/>
      <c r="L10" s="581">
        <f>IFERROR(IF(OR(D10=HELPER!Q9,D10=HELPER!$Q$5),D10*2+F10+G10*2,D10*2+G10*2)," ")</f>
        <v/>
      </c>
      <c r="N10" s="82">
        <f>(E10/1000)*(L10/1000)*(M10/1000)*1.25</f>
        <v/>
      </c>
      <c r="O10" s="83">
        <f>N10*(1+X10)</f>
        <v/>
      </c>
      <c r="P10">
        <f>IFERROR(VLOOKUP(B10,BOM!$Q$1:$R$12,2,FALSE),"")</f>
        <v/>
      </c>
      <c r="R10">
        <f>IFERROR(IF(Q10="Europe to Canada",IF(C10*O10&lt;1000,(C10*O10/1000)*VLOOKUP(1000,HELPER!$AG$4:$AH$8,2,FALSE)/(C10*O10),VLOOKUP(C10*O10,HELPER!$AG$4:$AH$8,2,TRUE)/(C10*O10)),VLOOKUP(Q10,HELPER!$AF$2:$AH$3,3,FALSE)),0)</f>
        <v/>
      </c>
      <c r="S10" s="115">
        <f>IFERROR(Table6[[#This Row],[Bag''s Weight + Fall out (kg)]]*(Table6[[#This Row],[Raw material cost (per kg)]]+Table6[[#This Row],[Shipment costs]])," ")</f>
        <v/>
      </c>
      <c r="W10" s="84">
        <f>IFERROR((0.05+SUM(U10,V10)/T10)," ")</f>
        <v/>
      </c>
      <c r="Y10" s="101">
        <f>IF(OR(C10="",C10=0),"",((D10*E10)/1000000)*0.175*VLOOKUP(C10,HELPER!$AS$3:$AT$7,2,TRUE)*1.2*1.15*IF((D10+E10)*2&gt;=1200,1.5,1))</f>
        <v/>
      </c>
      <c r="Z10" s="104" t="n"/>
      <c r="AA10" s="127">
        <f>IF(A10=HELPER!$Q$2,HELPER!$AD$2,0)</f>
        <v/>
      </c>
      <c r="AB10" s="127">
        <f>IFERROR((P10+U10+V10+W10+X10+IF(Z10&lt;&gt;"",Z10,Y10)+AA10),0)</f>
        <v/>
      </c>
      <c r="AC10" s="583">
        <f>IFERROR(AB10/(1-$AC$2)," ")</f>
        <v/>
      </c>
      <c r="AF10" s="584">
        <f>Table6[[#This Row],[Price for customer]]*HELPER!$AK$2</f>
        <v/>
      </c>
    </row>
    <row r="11">
      <c r="C11" s="127" t="n"/>
      <c r="L11" s="581">
        <f>IFERROR(IF(OR(D11=HELPER!Q10,D11=HELPER!$Q$5),D11*2+F11+G11*2,D11*2+G11*2)," ")</f>
        <v/>
      </c>
      <c r="N11" s="82">
        <f>(E11/1000)*(L11/1000)*(M11/1000)*1.25</f>
        <v/>
      </c>
      <c r="O11" s="83">
        <f>N11*(1+X11)</f>
        <v/>
      </c>
      <c r="P11">
        <f>IFERROR(VLOOKUP(B11,BOM!$Q$1:$R$12,2,FALSE),"")</f>
        <v/>
      </c>
      <c r="R11">
        <f>IFERROR(IF(Q11="Europe to Canada",IF(C11*O11&lt;1000,(C11*O11/1000)*VLOOKUP(1000,HELPER!$AG$4:$AH$8,2,FALSE)/(C11*O11),VLOOKUP(C11*O11,HELPER!$AG$4:$AH$8,2,TRUE)/(C11*O11)),VLOOKUP(Q11,HELPER!$AF$2:$AH$3,3,FALSE)),0)</f>
        <v/>
      </c>
      <c r="S11" s="115">
        <f>IFERROR(Table6[[#This Row],[Bag''s Weight + Fall out (kg)]]*(Table6[[#This Row],[Raw material cost (per kg)]]+Table6[[#This Row],[Shipment costs]])," ")</f>
        <v/>
      </c>
      <c r="W11" s="84">
        <f>IFERROR((0.05+SUM(U11,V11)/T11)," ")</f>
        <v/>
      </c>
      <c r="Y11" s="101">
        <f>IF(OR(C11="",C11=0),"",((D11*E11)/1000000)*0.175*VLOOKUP(C11,HELPER!$AS$3:$AT$7,2,TRUE)*1.2*1.15*IF((D11+E11)*2&gt;=1200,1.5,1))</f>
        <v/>
      </c>
      <c r="Z11" s="104" t="n"/>
      <c r="AA11" s="127">
        <f>IF(A11=HELPER!$Q$2,HELPER!$AD$2,0)</f>
        <v/>
      </c>
      <c r="AB11" s="127">
        <f>IFERROR((P11+U11+V11+W11+X11+IF(Z11&lt;&gt;"",Z11,Y11)+AA11),0)</f>
        <v/>
      </c>
      <c r="AC11" s="583">
        <f>IFERROR(AB11/(1-$AC$2)," ")</f>
        <v/>
      </c>
      <c r="AF11" s="584">
        <f>Table6[[#This Row],[Price for customer]]*HELPER!$AK$2</f>
        <v/>
      </c>
    </row>
    <row r="12">
      <c r="C12" s="127" t="n"/>
      <c r="L12" s="581">
        <f>IFERROR(IF(OR(D12=HELPER!Q11,D12=HELPER!$Q$5),D12*2+F12+G12*2,D12*2+G12*2)," ")</f>
        <v/>
      </c>
      <c r="N12" s="82">
        <f>(E12/1000)*(L12/1000)*(M12/1000)*1.25</f>
        <v/>
      </c>
      <c r="O12" s="83">
        <f>N12*(1+X12)</f>
        <v/>
      </c>
      <c r="P12">
        <f>IFERROR(VLOOKUP(B12,BOM!$Q$1:$R$12,2,FALSE),"")</f>
        <v/>
      </c>
      <c r="R12">
        <f>IFERROR(IF(Q12="Europe to Canada",IF(C12*O12&lt;1000,(C12*O12/1000)*VLOOKUP(1000,HELPER!$AG$4:$AH$8,2,FALSE)/(C12*O12),VLOOKUP(C12*O12,HELPER!$AG$4:$AH$8,2,TRUE)/(C12*O12)),VLOOKUP(Q12,HELPER!$AF$2:$AH$3,3,FALSE)),0)</f>
        <v/>
      </c>
      <c r="S12" s="115">
        <f>IFERROR(Table6[[#This Row],[Bag''s Weight + Fall out (kg)]]*(Table6[[#This Row],[Raw material cost (per kg)]]+Table6[[#This Row],[Shipment costs]])," ")</f>
        <v/>
      </c>
      <c r="W12" s="84">
        <f>IFERROR((0.05+SUM(U12,V12)/T12)," ")</f>
        <v/>
      </c>
      <c r="Y12" s="101">
        <f>IF(OR(C12="",C12=0),"",((D12*E12)/1000000)*0.175*VLOOKUP(C12,HELPER!$AS$3:$AT$7,2,TRUE)*1.2*1.15*IF((D12+E12)*2&gt;=1200,1.5,1))</f>
        <v/>
      </c>
      <c r="Z12" s="104" t="n"/>
      <c r="AA12" s="127">
        <f>IF(A12=HELPER!$Q$2,HELPER!$AD$2,0)</f>
        <v/>
      </c>
      <c r="AB12" s="127">
        <f>IFERROR((P12+U12+V12+W12+X12+IF(Z12&lt;&gt;"",Z12,Y12)+AA12),0)</f>
        <v/>
      </c>
      <c r="AC12" s="583">
        <f>IFERROR(AB12/(1-$AC$2)," ")</f>
        <v/>
      </c>
      <c r="AF12" s="584">
        <f>Table6[[#This Row],[Price for customer]]*HELPER!$AK$2</f>
        <v/>
      </c>
    </row>
    <row r="13">
      <c r="C13" s="127" t="n"/>
      <c r="L13" s="581">
        <f>IFERROR(IF(OR(D13=HELPER!Q12,D13=HELPER!$Q$5),D13*2+F13+G13*2,D13*2+G13*2)," ")</f>
        <v/>
      </c>
      <c r="N13" s="82">
        <f>(E13/1000)*(L13/1000)*(M13/1000)*1.25</f>
        <v/>
      </c>
      <c r="O13" s="83">
        <f>N13*(1+X13)</f>
        <v/>
      </c>
      <c r="P13">
        <f>IFERROR(VLOOKUP(B13,BOM!$Q$1:$R$12,2,FALSE),"")</f>
        <v/>
      </c>
      <c r="R13">
        <f>IFERROR(IF(Q13="Europe to Canada",IF(C13*O13&lt;1000,(C13*O13/1000)*VLOOKUP(1000,HELPER!$AG$4:$AH$8,2,FALSE)/(C13*O13),VLOOKUP(C13*O13,HELPER!$AG$4:$AH$8,2,TRUE)/(C13*O13)),VLOOKUP(Q13,HELPER!$AF$2:$AH$3,3,FALSE)),0)</f>
        <v/>
      </c>
      <c r="S13" s="115">
        <f>IFERROR(Table6[[#This Row],[Bag''s Weight + Fall out (kg)]]*(Table6[[#This Row],[Raw material cost (per kg)]]+Table6[[#This Row],[Shipment costs]])," ")</f>
        <v/>
      </c>
      <c r="W13" s="84">
        <f>IFERROR((0.05+SUM(U13,V13)/T13)," ")</f>
        <v/>
      </c>
      <c r="Y13" s="101">
        <f>IF(OR(C13="",C13=0),"",((D13*E13)/1000000)*0.175*VLOOKUP(C13,HELPER!$AS$3:$AT$7,2,TRUE)*1.2*1.15*IF((D13+E13)*2&gt;=1200,1.5,1))</f>
        <v/>
      </c>
      <c r="Z13" s="104" t="n"/>
      <c r="AA13" s="127">
        <f>IF(A13=HELPER!$Q$2,HELPER!$AD$2,0)</f>
        <v/>
      </c>
      <c r="AB13" s="127">
        <f>IFERROR((P13+U13+V13+W13+X13+IF(Z13&lt;&gt;"",Z13,Y13)+AA13),0)</f>
        <v/>
      </c>
      <c r="AC13" s="583">
        <f>IFERROR(AB13/(1-$AC$2)," ")</f>
        <v/>
      </c>
      <c r="AF13" s="584">
        <f>Table6[[#This Row],[Price for customer]]*HELPER!$AK$2</f>
        <v/>
      </c>
    </row>
    <row r="14" ht="15.75" customHeight="1" s="430" thickBot="1">
      <c r="C14" s="127" t="n"/>
      <c r="L14" s="581">
        <f>IFERROR(IF(OR(D14=HELPER!Q13,D14=HELPER!$Q$5),D14*2+F14+G14*2,D14*2+G14*2)," ")</f>
        <v/>
      </c>
      <c r="N14" s="82">
        <f>(E14/1000)*(L14/1000)*(M14/1000)*1.25</f>
        <v/>
      </c>
      <c r="O14" s="83">
        <f>N14*(1+X14)</f>
        <v/>
      </c>
      <c r="P14">
        <f>IFERROR(VLOOKUP(B14,BOM!$Q$1:$R$12,2,FALSE),"")</f>
        <v/>
      </c>
      <c r="R14">
        <f>IFERROR(IF(Q14="Europe to Canada",IF(C14*O14&lt;1000,(C14*O14/1000)*VLOOKUP(1000,HELPER!$AG$4:$AH$8,2,FALSE)/(C14*O14),VLOOKUP(C14*O14,HELPER!$AG$4:$AH$8,2,TRUE)/(C14*O14)),VLOOKUP(Q14,HELPER!$AF$2:$AH$3,3,FALSE)),0)</f>
        <v/>
      </c>
      <c r="S14" s="115">
        <f>IFERROR(Table6[[#This Row],[Bag''s Weight + Fall out (kg)]]*(Table6[[#This Row],[Raw material cost (per kg)]]+Table6[[#This Row],[Shipment costs]])," ")</f>
        <v/>
      </c>
      <c r="W14" s="84">
        <f>IFERROR((0.05+SUM(U14,V14)/T14)," ")</f>
        <v/>
      </c>
      <c r="Y14" s="101">
        <f>IF(OR(C14="",C14=0),"",((D14*E14)/1000000)*0.175*VLOOKUP(C14,HELPER!$AS$3:$AT$7,2,TRUE)*1.2*1.15*IF((D14+E14)*2&gt;=1200,1.5,1))</f>
        <v/>
      </c>
      <c r="Z14" s="105" t="n"/>
      <c r="AA14" s="127">
        <f>IF(A14=HELPER!$Q$2,HELPER!$AD$2,0)</f>
        <v/>
      </c>
      <c r="AB14" s="127">
        <f>IFERROR((P14+U14+V14+W14+X14+IF(Z14&lt;&gt;"",Z14,Y14)+AA14),0)</f>
        <v/>
      </c>
      <c r="AC14" s="583">
        <f>IFERROR(AB14/(1-$AC$2)," ")</f>
        <v/>
      </c>
      <c r="AF14" s="584">
        <f>Table6[[#This Row],[Price for customer]]*HELPER!$AK$2</f>
        <v/>
      </c>
    </row>
    <row r="17">
      <c r="D17" s="451" t="n"/>
      <c r="E17" s="451" t="n"/>
      <c r="F17" s="451" t="n"/>
      <c r="G17" s="451" t="n"/>
      <c r="H17" s="451" t="n"/>
      <c r="I17" s="451" t="n"/>
      <c r="J17" s="451" t="n"/>
      <c r="K17" s="451" t="n"/>
      <c r="L17" s="451" t="n"/>
      <c r="M17" s="451" t="n"/>
      <c r="N17" s="451" t="n"/>
      <c r="O17" s="451" t="n"/>
      <c r="S17" s="500" t="n"/>
      <c r="T17" s="500" t="n"/>
      <c r="U17" s="500" t="n"/>
      <c r="V17" s="500" t="n"/>
      <c r="W17" s="500" t="n"/>
    </row>
    <row r="21">
      <c r="AD21" s="113" t="n"/>
    </row>
  </sheetData>
  <mergeCells count="1">
    <mergeCell ref="J2:K2"/>
  </mergeCells>
  <dataValidations count="1">
    <dataValidation sqref="Q5:Q14" showDropDown="0" showInputMessage="1" showErrorMessage="1" allowBlank="1" type="list">
      <formula1>ShippingRoutes</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FFF00"/>
    <outlinePr summaryBelow="1" summaryRight="1"/>
    <pageSetUpPr/>
  </sheetPr>
  <dimension ref="A1:AM32"/>
  <sheetViews>
    <sheetView workbookViewId="0">
      <selection activeCell="A3" sqref="A3:A8"/>
    </sheetView>
  </sheetViews>
  <sheetFormatPr baseColWidth="8" defaultRowHeight="15"/>
  <cols>
    <col outlineLevel="1" width="14.28515625" customWidth="1" style="430" min="1" max="1"/>
    <col outlineLevel="1" width="22.85546875" customWidth="1" style="127" min="2" max="2"/>
    <col outlineLevel="1" width="15.28515625" customWidth="1" style="430" min="3" max="3"/>
    <col outlineLevel="1" width="53.140625" customWidth="1" style="430" min="4" max="4"/>
    <col outlineLevel="1" width="19.140625" customWidth="1" style="430" min="5" max="5"/>
    <col outlineLevel="1" width="25.5703125" customWidth="1" style="430" min="6" max="6"/>
    <col outlineLevel="1" width="30.85546875" customWidth="1" style="430" min="7" max="7"/>
    <col outlineLevel="1" width="11.5703125" customWidth="1" style="430" min="8" max="8"/>
    <col outlineLevel="1" width="15.28515625" customWidth="1" style="430" min="9" max="9"/>
    <col outlineLevel="1" width="23" customWidth="1" style="430" min="10" max="10"/>
    <col outlineLevel="1" width="13.85546875" customWidth="1" style="430" min="11" max="11"/>
    <col outlineLevel="1" width="9" customWidth="1" style="430" min="12" max="12"/>
    <col outlineLevel="1" width="12.140625" customWidth="1" style="430" min="13" max="13"/>
    <col outlineLevel="1" width="18.140625" customWidth="1" style="430" min="14" max="14"/>
    <col outlineLevel="1" width="21.5703125" customWidth="1" style="430" min="15" max="15"/>
    <col outlineLevel="1" width="21.28515625" customWidth="1" style="430" min="16" max="16"/>
    <col outlineLevel="1" width="11.5703125" customWidth="1" style="430" min="17" max="17"/>
    <col outlineLevel="1" width="16.42578125" customWidth="1" style="430" min="18" max="18"/>
    <col outlineLevel="1" width="11" customWidth="1" style="430" min="19" max="19"/>
    <col outlineLevel="1" width="18.42578125" customWidth="1" style="582" min="20" max="22"/>
    <col outlineLevel="1" width="20.5703125" customWidth="1" style="430" min="23" max="23"/>
    <col outlineLevel="1" width="17.42578125" customWidth="1" style="430" min="24" max="24"/>
    <col outlineLevel="1" width="16.85546875" customWidth="1" style="430" min="25" max="25"/>
    <col width="3.5703125" customWidth="1" style="430" min="26" max="27"/>
    <col width="4" customWidth="1" style="430" min="28" max="28"/>
    <col width="26.7109375" customWidth="1" style="430" min="29" max="29"/>
    <col width="19" customWidth="1" style="430" min="30" max="30"/>
    <col width="9.5703125" customWidth="1" style="430" min="31" max="31"/>
    <col width="3.85546875" customWidth="1" style="430" min="32" max="32"/>
    <col width="26.7109375" customWidth="1" style="430" min="33" max="33"/>
    <col width="19" customWidth="1" style="430" min="34" max="34"/>
    <col width="9.5703125" customWidth="1" style="430" min="35" max="35"/>
    <col width="3.85546875" customWidth="1" style="430" min="36" max="36"/>
    <col width="26.7109375" customWidth="1" style="430" min="37" max="37"/>
    <col width="19" customWidth="1" style="430" min="38" max="38"/>
    <col width="9.5703125" customWidth="1" style="430" min="39" max="39"/>
  </cols>
  <sheetData>
    <row r="1" ht="15.75" customHeight="1" s="430" thickBot="1">
      <c r="A1" s="92" t="inlineStr">
        <is>
          <t>Dropdown</t>
        </is>
      </c>
      <c r="B1" s="92" t="inlineStr">
        <is>
          <t>Manual</t>
        </is>
      </c>
      <c r="C1" s="92" t="inlineStr">
        <is>
          <t>Dropdown</t>
        </is>
      </c>
      <c r="D1" s="92" t="inlineStr">
        <is>
          <t>Dependant</t>
        </is>
      </c>
      <c r="E1" s="92" t="inlineStr">
        <is>
          <t>Manual</t>
        </is>
      </c>
      <c r="F1" s="92" t="inlineStr">
        <is>
          <t>Manual</t>
        </is>
      </c>
      <c r="G1" s="92" t="inlineStr">
        <is>
          <t>Calc (Based on A &amp; B)</t>
        </is>
      </c>
      <c r="H1" s="92" t="inlineStr">
        <is>
          <t>Dependent</t>
        </is>
      </c>
      <c r="I1" s="92" t="inlineStr">
        <is>
          <t>Dependent</t>
        </is>
      </c>
      <c r="J1" s="92" t="inlineStr">
        <is>
          <t>Dependent on  column C</t>
        </is>
      </c>
      <c r="K1" s="136" t="inlineStr">
        <is>
          <t>to recheck</t>
        </is>
      </c>
      <c r="L1" s="92" t="n"/>
      <c r="M1" s="92" t="n"/>
      <c r="N1" s="136" t="inlineStr">
        <is>
          <t>to recheck</t>
        </is>
      </c>
      <c r="O1" s="92" t="inlineStr">
        <is>
          <t>Dropdown</t>
        </is>
      </c>
      <c r="P1" s="92" t="inlineStr">
        <is>
          <t>Dependent, Manual if needed</t>
        </is>
      </c>
      <c r="Q1" s="92" t="n"/>
      <c r="R1" s="92" t="n"/>
      <c r="S1" s="92" t="inlineStr">
        <is>
          <t>Dropdown</t>
        </is>
      </c>
      <c r="T1" s="585" t="inlineStr">
        <is>
          <t>Dependent on  column T</t>
        </is>
      </c>
      <c r="U1" s="585" t="inlineStr">
        <is>
          <t>Dependent on  column T</t>
        </is>
      </c>
      <c r="V1" s="585" t="inlineStr">
        <is>
          <t>Dependent on  column T</t>
        </is>
      </c>
      <c r="W1" s="585" t="inlineStr">
        <is>
          <t>Calculation</t>
        </is>
      </c>
      <c r="X1" s="585" t="inlineStr">
        <is>
          <t>Calculation</t>
        </is>
      </c>
      <c r="Y1" s="585" t="inlineStr">
        <is>
          <t>Calculation</t>
        </is>
      </c>
      <c r="AC1" t="inlineStr">
        <is>
          <t>📊 MARGIN</t>
        </is>
      </c>
      <c r="AD1" s="396" t="n">
        <v>0.2</v>
      </c>
      <c r="AG1" t="inlineStr">
        <is>
          <t>📊 MARGIN</t>
        </is>
      </c>
      <c r="AH1" s="396" t="n">
        <v>0.2</v>
      </c>
      <c r="AK1" t="inlineStr">
        <is>
          <t>📊 MARGIN</t>
        </is>
      </c>
      <c r="AL1" s="396" t="n">
        <v>0.25</v>
      </c>
    </row>
    <row r="2" ht="30" customHeight="1" s="430" thickBot="1">
      <c r="A2" s="123" t="inlineStr">
        <is>
          <t>Measurement</t>
        </is>
      </c>
      <c r="B2" s="123" t="inlineStr">
        <is>
          <t>Amount</t>
        </is>
      </c>
      <c r="C2" s="123" t="inlineStr">
        <is>
          <t>Laminate</t>
        </is>
      </c>
      <c r="D2" s="117" t="inlineStr">
        <is>
          <t>Laminate structure</t>
        </is>
      </c>
      <c r="E2" s="123" t="inlineStr">
        <is>
          <t>Width of reel</t>
        </is>
      </c>
      <c r="F2" s="123" t="inlineStr">
        <is>
          <t>Length of impression</t>
        </is>
      </c>
      <c r="G2" s="123" t="inlineStr">
        <is>
          <t>Laminate length (m) width asked</t>
        </is>
      </c>
      <c r="H2" s="117" t="inlineStr">
        <is>
          <t>PR/ NonPR</t>
        </is>
      </c>
      <c r="I2" s="123" t="inlineStr">
        <is>
          <t>No of colors</t>
        </is>
      </c>
      <c r="J2" s="117" t="inlineStr">
        <is>
          <t>Lemination Width (mm)</t>
        </is>
      </c>
      <c r="K2" s="117" t="inlineStr">
        <is>
          <t>Thickness (µ)</t>
        </is>
      </c>
      <c r="L2" s="117" t="inlineStr">
        <is>
          <t>Density</t>
        </is>
      </c>
      <c r="M2" s="123" t="inlineStr">
        <is>
          <t>Weight (kg)</t>
        </is>
      </c>
      <c r="N2" s="117" t="inlineStr">
        <is>
          <t>Raw material Cost</t>
        </is>
      </c>
      <c r="O2" s="123" t="inlineStr">
        <is>
          <t>Shipment Destination</t>
        </is>
      </c>
      <c r="P2" s="123" t="inlineStr">
        <is>
          <t>Shipment costs</t>
        </is>
      </c>
      <c r="Q2" s="117" t="inlineStr">
        <is>
          <t>Cost (€)</t>
        </is>
      </c>
      <c r="R2" s="117" t="inlineStr">
        <is>
          <t>Cost Per KG(€)</t>
        </is>
      </c>
      <c r="S2" s="159" t="inlineStr">
        <is>
          <t>Supplier</t>
        </is>
      </c>
      <c r="T2" s="559" t="inlineStr">
        <is>
          <t>Lamination</t>
        </is>
      </c>
      <c r="U2" s="559" t="inlineStr">
        <is>
          <t>Printing</t>
        </is>
      </c>
      <c r="V2" s="586" t="inlineStr">
        <is>
          <t>Slitiing</t>
        </is>
      </c>
      <c r="W2" s="586" t="inlineStr">
        <is>
          <t xml:space="preserve">Waste </t>
        </is>
      </c>
      <c r="X2" s="586" t="inlineStr">
        <is>
          <t xml:space="preserve">Printing waste </t>
        </is>
      </c>
      <c r="Y2" s="586" t="inlineStr">
        <is>
          <t>Total Cost</t>
        </is>
      </c>
      <c r="AC2" s="456" t="inlineStr">
        <is>
          <t>📊 LAMINATE CALCULATOR 1</t>
        </is>
      </c>
      <c r="AD2" s="587" t="n"/>
      <c r="AE2" s="588" t="n"/>
      <c r="AG2" s="462" t="inlineStr">
        <is>
          <t>📊 LAMINATE CALCULATOR 2</t>
        </is>
      </c>
      <c r="AH2" s="589" t="n"/>
      <c r="AI2" s="590" t="n"/>
      <c r="AK2" s="468" t="inlineStr">
        <is>
          <t>📊 LAMINATE CALCULATOR 3</t>
        </is>
      </c>
      <c r="AL2" s="591" t="n"/>
      <c r="AM2" s="592" t="n"/>
    </row>
    <row r="3" ht="21.95" customHeight="1" s="430">
      <c r="A3" s="455" t="inlineStr">
        <is>
          <t>Kg</t>
        </is>
      </c>
      <c r="B3" s="453">
        <f>AD6</f>
        <v/>
      </c>
      <c r="C3" s="451">
        <f>AD3</f>
        <v/>
      </c>
      <c r="D3">
        <f t="array" ref="D3:D5">IFERROR(_xlfn.LET(_xlpm.lam,C3,_xlpm.thick,AD4,_xlfn.TAKE(_xlfn._xlws.FILTER(HELPER!$BW$2:$BW$75,(HELPER!$BZ$2:$BZ$75=_xlpm.lam)*(HELPER!$CC$2:$CC$75=_xlpm.thick)*(HELPER!$BW$2:$BW$75&lt;&gt;""),"No match"), 6)),"")</f>
        <v/>
      </c>
      <c r="E3" s="451">
        <f>AD5</f>
        <v/>
      </c>
      <c r="F3" s="451" t="n"/>
      <c r="G3" s="453">
        <f>IF(OR(A3="",B3=""),"",IF(A3="Kg",IF(SUM(M3:M8)=0,"",(1/SUM(M3:M8)*ROUNDDOWN((J3-30)/E3,0))*B3),IF(OR(A3="UN",A3="Impresssions"),B3*F3/1000,"")))</f>
        <v/>
      </c>
      <c r="H3" s="451">
        <f>AD7</f>
        <v/>
      </c>
      <c r="I3" s="454">
        <f>IF(AD7="Not Printed",0,AD8)</f>
        <v/>
      </c>
      <c r="J3">
        <f>IF(AND($E$3&lt;&gt;"",ISNUMBER(MATCH(D3,HELPER!$AP$2:$AP$20,0))),$E$3+50,"")</f>
        <v/>
      </c>
      <c r="K3">
        <f t="array" ref="K3">_xlfn.LET(
            _xlpm.baseThick,IFERROR(INDEX(HELPER!$BX$2:$BX$75,MATCH(1,(HELPER!$BZ$2:$BZ$75=$C$3)*(HELPER!$CC$2:$CC$75=$AD$4)*(HELPER!$BW$2:$BW$75=D3),0)),""),
            _xlpm.materials,D$3:D$7,
            _xlpm.filmCount,SUMPRODUCT((LEFT(_xlpm.materials,2)="NK")+(ISNUMBER(SEARCH("paper",_xlpm.materials)))+(LEFT(_xlpm.materials,4)="TIPA")+(LEFT(_xlpm.materials,4)="PBAT")),
            _xlpm.isAdhesive,OR(ISNUMBER(SEARCH("RM G Epotal",D3)),ISNUMBER(SEARCH("RM G Basonat",D3))),
            IF(_xlpm.baseThick="","",IF(AND(_xlpm.filmCount&gt;=3,_xlpm.isAdhesive),_xlpm.baseThick*2,_xlpm.baseThick))
        )</f>
        <v/>
      </c>
      <c r="L3">
        <f>IFERROR(VLOOKUP(D3,HELPER!$AP$1:$AQ$20,2,FALSE),"")</f>
        <v/>
      </c>
      <c r="M3" s="593">
        <f>IF(D3=HELPER!AP8,42/1000*Laminates!J3/1000,Laminates!L3*1000*(Laminates!K3/1000000)*(Laminates!J3/1000))</f>
        <v/>
      </c>
      <c r="N3">
        <f>IF(D3="","",IF(D3="TIPA 312 MET",IFERROR(VLOOKUP("TIPA 312 MFG",BOM!$Q$2:$R$50,2,FALSE),0)+5,IF(D3="NK",7.95,IFERROR(VLOOKUP(D3,BOM!$Q$2:$R$50,2,FALSE),IFERROR(VLOOKUP(D3,HELPER!$C$2:$E$32,3,FALSE),IFERROR(VLOOKUP(D3,HELPER!$A$2:$E$32,5,FALSE),""))))))</f>
        <v/>
      </c>
      <c r="O3" s="451">
        <f>AD9</f>
        <v/>
      </c>
      <c r="P3" s="455">
        <f>IF(OR(D3="",D3="Total Thickness"),"",IFERROR(IF(O$3="Europe to Canada",IF(B$3&lt;1000,VLOOKUP(1000,HELPER!$AG$4:$AH$8,2,FALSE)/B$3,VLOOKUP(B$3,HELPER!$AG$4:$AH$8,2,TRUE)/B$3),IF(O$3="Europe to US",HELPER!$AH$2,IF(O$3="Europe to Europe",HELPER!$AH$3,0))),0))</f>
        <v/>
      </c>
      <c r="Q3" s="594">
        <f>IFERROR(M3*(N3+P3)," ")</f>
        <v/>
      </c>
      <c r="R3" s="595">
        <f>IFERROR((N3+P3)*M3/SUM($M$3:$M$8)," ")</f>
        <v/>
      </c>
      <c r="S3" s="451">
        <f>AD10</f>
        <v/>
      </c>
      <c r="T3" s="596">
        <f t="array" ref="T3">IF($S3="","",IF($E3&gt;1220,"Error! please choose width not higher than 1220",_xlfn.LET(_xlpm.len,$G3,_xlpm.colNum,IF(_xlpm.len&lt;3000,1,IF(_xlpm.len&lt;10000,2,IF(_xlpm.len&lt;25000,3,IF(_xlpm.len&lt;50000,4,IF(_xlpm.len&lt;100000,5,IF(_xlpm.len&lt;250000,6,IF(_xlpm.len&lt;500000,7,8))))))),_xlpm.widthRow,IF($E3&lt;=990,0,5),_xlpm.supplierRow,IF($S3="Marma",3,IF($S3="Bastin",13,0)),IF(_xlpm.supplierRow=0,"",INDEX('Lmntn &amp; Prntng- Marma &amp; Bastin '!$D:$K,_xlpm.supplierRow+_xlpm.widthRow,_xlpm.colNum)))))</f>
        <v/>
      </c>
      <c r="U3" s="597">
        <f t="array" ref="U3">IF(OR($S3="",$I3=0,$I3="0"),"",IF($E3&gt;1220,"Error! please choose width not higher than 1220",_xlfn.LET(_xlpm.len,$G3,_xlpm.colors,$I3,_xlpm.colNum,IF(_xlpm.len&lt;3000,1,IF(_xlpm.len&lt;10000,2,IF(_xlpm.len&lt;25000,3,IF(_xlpm.len&lt;50000,4,IF(_xlpm.len&lt;100000,5,IF(_xlpm.len&lt;250000,6,IF(_xlpm.len&lt;500000,7,8))))))),_xlpm.widthRow,IF($E3&lt;=990,0,5),_xlpm.colorOffset,IF(OR(_xlpm.colors=1,_xlpm.colors=2,_xlpm.colors="1-2"),1,IF(OR(_xlpm.colors=3,_xlpm.colors=4,_xlpm.colors="3-4"),2,IF(OR(_xlpm.colors&gt;=5,_xlpm.colors="5-6",_xlpm.colors="5-8"),3,0))),_xlpm.supplierRow,IF($S3="Marma",3,IF($S3="Bastin",13,0)),IF(OR(_xlpm.supplierRow=0,_xlpm.colorOffset=0),"",INDEX('Lmntn &amp; Prntng- Marma &amp; Bastin '!$D:$K,_xlpm.supplierRow+_xlpm.widthRow+_xlpm.colorOffset,_xlpm.colNum)))))</f>
        <v/>
      </c>
      <c r="V3" s="596">
        <f t="array" ref="V3">IF($S3="","",IF($E3&gt;1220,"Error! please choose width not higher than 1220",_xlfn.LET(_xlpm.len,$G3,_xlpm.colNum,IF(_xlpm.len&lt;3000,1,IF(_xlpm.len&lt;10000,2,IF(_xlpm.len&lt;25000,3,IF(_xlpm.len&lt;50000,4,IF(_xlpm.len&lt;100000,5,IF(_xlpm.len&lt;250000,6,IF(_xlpm.len&lt;500000,7,8))))))),_xlpm.widthRow,IF($E3&lt;=990,0,5),_xlpm.supplierRow,IF($S3="Marma",7,IF($S3="Bastin",17,0)),IF(_xlpm.supplierRow=0,"",INDEX('Lmntn &amp; Prntng- Marma &amp; Bastin '!$D:$K,_xlpm.supplierRow+_xlpm.widthRow,_xlpm.colNum)))))</f>
        <v/>
      </c>
      <c r="W3" s="474">
        <f>AD20*0.06</f>
        <v/>
      </c>
      <c r="X3" s="474">
        <f>IF(H3="Printed",AD20*0.028,0)</f>
        <v/>
      </c>
      <c r="Y3" s="474">
        <f>(AD20+AD21+AD23)+AD20*(0.06+IF(H3="Printed",0.028,0))</f>
        <v/>
      </c>
      <c r="AC3" s="357" t="inlineStr">
        <is>
          <t>🏷️ Laminate</t>
        </is>
      </c>
      <c r="AD3" s="358" t="n">
        <v>618</v>
      </c>
      <c r="AE3" s="359" t="n"/>
      <c r="AG3" s="370" t="inlineStr">
        <is>
          <t>🏷️ Laminate</t>
        </is>
      </c>
      <c r="AH3" s="371" t="n">
        <v>428</v>
      </c>
      <c r="AI3" s="372" t="n"/>
      <c r="AK3" s="383" t="inlineStr">
        <is>
          <t>🏷️ Laminate</t>
        </is>
      </c>
      <c r="AL3" s="384" t="n">
        <v>608</v>
      </c>
      <c r="AM3" s="385" t="n"/>
    </row>
    <row r="4" ht="21.95" customHeight="1" s="430">
      <c r="D4" t="inlineStr">
        <is>
          <t>TIPA 302FG</t>
        </is>
      </c>
      <c r="J4">
        <f>IF(AND($E$3&lt;&gt;"",ISNUMBER(MATCH(D4,HELPER!$AP$2:$AP$20,0))),$E$3+50,"")</f>
        <v/>
      </c>
      <c r="K4">
        <f t="array" ref="K4">_xlfn.LET(
            _xlpm.baseThick,IFERROR(INDEX(HELPER!$BX$2:$BX$75,MATCH(1,(HELPER!$BZ$2:$BZ$75=$C$3)*(HELPER!$CC$2:$CC$75=$AD$4)*(HELPER!$BW$2:$BW$75=D4),0)),""),
            _xlpm.materials,D$3:D$7,
            _xlpm.filmCount,SUMPRODUCT((LEFT(_xlpm.materials,2)="NK")+(ISNUMBER(SEARCH("paper",_xlpm.materials)))+(LEFT(_xlpm.materials,4)="TIPA")+(LEFT(_xlpm.materials,4)="PBAT")),
            _xlpm.isAdhesive,OR(ISNUMBER(SEARCH("RM G Epotal",D4)),ISNUMBER(SEARCH("RM G Basonat",D4))),
            IF(_xlpm.baseThick="","",IF(AND(_xlpm.filmCount&gt;=3,_xlpm.isAdhesive),_xlpm.baseThick*2,_xlpm.baseThick))
        )</f>
        <v/>
      </c>
      <c r="L4">
        <f>IFERROR(VLOOKUP(D4,HELPER!$AP$1:$AQ$20,2,FALSE),"")</f>
        <v/>
      </c>
      <c r="M4" s="593">
        <f>IF(D4=HELPER!AP14,42/1000*Laminates!J4/1000,Laminates!L4*1000*(Laminates!K4/1000000)*(Laminates!J4/1000))</f>
        <v/>
      </c>
      <c r="N4" s="352">
        <f>IF(D4="","",IF(D4="TIPA 312 MET",IFERROR(VLOOKUP("TIPA 312 MFG",BOM!$Q$2:$R$50,2,FALSE),0)+5,IF(D4="NK",7.95,IFERROR(VLOOKUP(D4,BOM!$Q$2:$R$50,2,FALSE),IFERROR(VLOOKUP(D4,HELPER!$C$2:$E$32,3,FALSE),IFERROR(VLOOKUP(D4,HELPER!$A$2:$E$32,5,FALSE),""))))))</f>
        <v/>
      </c>
      <c r="P4" s="455">
        <f>IF(OR(D4="",D4="Total Thickness"),"",IFERROR(IF(O$3="Europe to Canada",IF(B$3&lt;1000,VLOOKUP(1000,HELPER!$AG$4:$AH$8,2,FALSE)/B$3,VLOOKUP(B$3,HELPER!$AG$4:$AH$8,2,TRUE)/B$3),IF(O$3="Europe to US",HELPER!$AH$2,IF(O$3="Europe to Europe",HELPER!$AH$3,0))),0))</f>
        <v/>
      </c>
      <c r="Q4" s="594">
        <f>IFERROR(M4*(N4+P4)," ")</f>
        <v/>
      </c>
      <c r="R4" s="595">
        <f>IFERROR((N4+P4)*M4/SUM($M$3:$M$8)," ")</f>
        <v/>
      </c>
      <c r="AC4" s="357" t="inlineStr">
        <is>
          <t>📏 Total Thickness</t>
        </is>
      </c>
      <c r="AD4" s="358" t="n">
        <v>60</v>
      </c>
      <c r="AE4" s="359" t="inlineStr">
        <is>
          <t>µ</t>
        </is>
      </c>
      <c r="AG4" s="370" t="inlineStr">
        <is>
          <t>📏 Total Thickness</t>
        </is>
      </c>
      <c r="AH4" s="371">
        <f t="array" ref="AH4">_xlfn.LET(
        _xlpm.lam,AH3,
        _xlpm.thicknesses,_xlfn._xlws.FILTER(HELPER!$CC$2:$CC$75,HELPER!$BZ$2:$BZ$75=_xlpm.lam,""),
        _xlpm.uniqueThick,_xlfn.UNIQUE(_xlpm.thicknesses),
        _xlpm.countOptions,ROWS(_xlpm.uniqueThick),
        IF(_xlpm.countOptions=1,INDEX(_xlpm.uniqueThick,1),"")
    )</f>
        <v/>
      </c>
      <c r="AI4" s="372" t="inlineStr">
        <is>
          <t>µ</t>
        </is>
      </c>
      <c r="AK4" s="383" t="inlineStr">
        <is>
          <t>📏 Total Thickness</t>
        </is>
      </c>
      <c r="AL4" s="384">
        <f t="array" ref="AL4">_xlfn.LET(
        _xlpm.lam,AL3,
        _xlpm.thicknesses,_xlfn._xlws.FILTER(HELPER!$CC$2:$CC$75,HELPER!$BZ$2:$BZ$75=_xlpm.lam,""),
        _xlpm.uniqueThick,_xlfn.UNIQUE(_xlpm.thicknesses),
        _xlpm.countOptions,ROWS(_xlpm.uniqueThick),
        IF(_xlpm.countOptions=1,INDEX(_xlpm.uniqueThick,1),"")
    )</f>
        <v/>
      </c>
      <c r="AM4" s="385" t="inlineStr">
        <is>
          <t>µ</t>
        </is>
      </c>
    </row>
    <row r="5" ht="21.95" customHeight="1" s="430">
      <c r="D5" t="inlineStr">
        <is>
          <t>RM G Epotal ECO 3675</t>
        </is>
      </c>
      <c r="J5">
        <f>IF(AND($E$3&lt;&gt;"",ISNUMBER(MATCH(D5,HELPER!$AP$2:$AP$20,0))),$E$3+50,"")</f>
        <v/>
      </c>
      <c r="K5">
        <f t="array" ref="K5">_xlfn.LET(
            _xlpm.baseThick,IFERROR(INDEX(HELPER!$BX$2:$BX$75,MATCH(1,(HELPER!$BZ$2:$BZ$75=$C$3)*(HELPER!$CC$2:$CC$75=$AD$4)*(HELPER!$BW$2:$BW$75=D5),0)),""),
            _xlpm.materials,D$3:D$7,
            _xlpm.filmCount,SUMPRODUCT((LEFT(_xlpm.materials,2)="NK")+(ISNUMBER(SEARCH("paper",_xlpm.materials)))+(LEFT(_xlpm.materials,4)="TIPA")+(LEFT(_xlpm.materials,4)="PBAT")),
            _xlpm.isAdhesive,OR(ISNUMBER(SEARCH("RM G Epotal",D5)),ISNUMBER(SEARCH("RM G Basonat",D5))),
            IF(_xlpm.baseThick="","",IF(AND(_xlpm.filmCount&gt;=3,_xlpm.isAdhesive),_xlpm.baseThick*2,_xlpm.baseThick))
        )</f>
        <v/>
      </c>
      <c r="L5">
        <f>IFERROR(VLOOKUP(D5,HELPER!$AP$1:$AQ$20,2,FALSE),"")</f>
        <v/>
      </c>
      <c r="M5" s="593">
        <f>IF(OR(L5="",L5=0),"",L5*1000*(K5/1000000)*(J5/1000))</f>
        <v/>
      </c>
      <c r="N5" s="352">
        <f>IF(D5="","",IF(D5="TIPA 312 MET",IFERROR(VLOOKUP("TIPA 312 MFG",BOM!$Q$2:$R$50,2,FALSE),0)+5,IF(D5="NK",7.95,IFERROR(VLOOKUP(D5,BOM!$Q$2:$R$50,2,FALSE),IFERROR(VLOOKUP(D5,HELPER!$C$2:$E$32,3,FALSE),IFERROR(VLOOKUP(D5,HELPER!$A$2:$E$32,5,FALSE),""))))))</f>
        <v/>
      </c>
      <c r="P5" s="455">
        <f>IF(OR(D5="",D5="Total Thickness"),"",IFERROR(IF(O$3="Europe to Canada",IF(B$3&lt;1000,VLOOKUP(1000,HELPER!$AG$4:$AH$8,2,FALSE)/B$3,VLOOKUP(B$3,HELPER!$AG$4:$AH$8,2,TRUE)/B$3),IF(O$3="Europe to US",HELPER!$AH$2,IF(O$3="Europe to Europe",HELPER!$AH$3,0))),0))</f>
        <v/>
      </c>
      <c r="Q5" s="594">
        <f>IFERROR(M5*(N5+P5)," ")</f>
        <v/>
      </c>
      <c r="R5" s="595">
        <f>IFERROR((N5+P5)*M5/SUM($M$3:$M$8)," ")</f>
        <v/>
      </c>
      <c r="AC5" s="357" t="inlineStr">
        <is>
          <t>📐 Width of Reel</t>
        </is>
      </c>
      <c r="AD5" s="358" t="n">
        <v>760</v>
      </c>
      <c r="AE5" s="359" t="inlineStr">
        <is>
          <t>mm</t>
        </is>
      </c>
      <c r="AG5" s="370" t="inlineStr">
        <is>
          <t>📐 Width of Reel</t>
        </is>
      </c>
      <c r="AH5" s="371" t="n">
        <v>760</v>
      </c>
      <c r="AI5" s="372" t="inlineStr">
        <is>
          <t>mm</t>
        </is>
      </c>
      <c r="AK5" s="383" t="inlineStr">
        <is>
          <t>📐 Width of Reel</t>
        </is>
      </c>
      <c r="AL5" s="384" t="n">
        <v>900</v>
      </c>
      <c r="AM5" s="385" t="inlineStr">
        <is>
          <t>mm</t>
        </is>
      </c>
    </row>
    <row r="6" ht="21.95" customHeight="1" s="430">
      <c r="J6">
        <f>IF(AND(E6&lt;&gt;"",ISNUMBER(MATCH(D6,HELPER!$AP$2:$AP$20,0))),E6+50,"")</f>
        <v/>
      </c>
      <c r="K6">
        <f t="array" ref="K6">_xlfn.LET(
            _xlpm.baseThick,IFERROR(INDEX(HELPER!$BX$2:$BX$75,MATCH(1,(HELPER!$BZ$2:$BZ$75=$C$3)*(HELPER!$CC$2:$CC$75=$AD$4)*(HELPER!$BW$2:$BW$75=D6),0)),""),
            _xlpm.materials,D$3:D$7,
            _xlpm.filmCount,SUMPRODUCT((LEFT(_xlpm.materials,2)="NK")+(ISNUMBER(SEARCH("paper",_xlpm.materials)))+(LEFT(_xlpm.materials,4)="TIPA")+(LEFT(_xlpm.materials,4)="PBAT")),
            _xlpm.isAdhesive,OR(ISNUMBER(SEARCH("RM G Epotal",D6)),ISNUMBER(SEARCH("RM G Basonat",D6))),
            IF(_xlpm.baseThick="","",IF(AND(_xlpm.filmCount&gt;=3,_xlpm.isAdhesive),_xlpm.baseThick*2,_xlpm.baseThick))
        )</f>
        <v/>
      </c>
      <c r="L6">
        <f>IFERROR(VLOOKUP(D6,HELPER!$AP$1:$AQ$20,2,FALSE),"")</f>
        <v/>
      </c>
      <c r="M6" s="593">
        <f>IF(ISNUMBER(SEARCH("Epotal",D6)),(COUNTIF(D3:D5,"&lt;&gt;")-1)*0.0025*J3/1000,"")</f>
        <v/>
      </c>
      <c r="N6">
        <f>IF(D6="","",IF(D6="TIPA 312 MET",IFERROR(VLOOKUP("TIPA 312 MFG",BOM!$Q$2:$R$50,2,FALSE),0)+5,IF(D6="NK",7.95,IFERROR(VLOOKUP(D6,BOM!$Q$2:$R$50,2,FALSE),IFERROR(VLOOKUP(D6,HELPER!$C$2:$E$32,3,FALSE),IFERROR(VLOOKUP(D6,HELPER!$A$2:$E$32,5,FALSE),""))))))</f>
        <v/>
      </c>
      <c r="P6" s="455">
        <f>IF(OR(D6="",D6="Total Thickness"),"",IFERROR(IF(O$3="Europe to Canada",IF(B$3&lt;1000,VLOOKUP(1000,HELPER!$AG$4:$AH$8,2,FALSE)/B$3,VLOOKUP(B$3,HELPER!$AG$4:$AH$8,2,TRUE)/B$3),IF(O$3="Europe to US",HELPER!$AH$2,IF(O$3="Europe to Europe",HELPER!$AH$3,0))),0))</f>
        <v/>
      </c>
      <c r="Q6" s="594">
        <f>IFERROR(M6*(N6+P6)," ")</f>
        <v/>
      </c>
      <c r="R6" s="595">
        <f>IFERROR((N6+P6)*M6/SUM($M$3:$M$8)," ")</f>
        <v/>
      </c>
      <c r="AC6" s="357" t="inlineStr">
        <is>
          <t>⚖️ Amount (Kg)</t>
        </is>
      </c>
      <c r="AD6" s="358" t="n">
        <v>5000</v>
      </c>
      <c r="AE6" s="359" t="inlineStr">
        <is>
          <t>Kg</t>
        </is>
      </c>
      <c r="AG6" s="370" t="inlineStr">
        <is>
          <t>⚖️ Amount (Kg)</t>
        </is>
      </c>
      <c r="AH6" s="371" t="n">
        <v>5000</v>
      </c>
      <c r="AI6" s="372" t="inlineStr">
        <is>
          <t>Kg</t>
        </is>
      </c>
      <c r="AK6" s="383" t="inlineStr">
        <is>
          <t>⚖️ Amount (Kg)</t>
        </is>
      </c>
      <c r="AL6" s="384" t="n">
        <v>7000</v>
      </c>
      <c r="AM6" s="385" t="inlineStr">
        <is>
          <t>Kg</t>
        </is>
      </c>
    </row>
    <row r="7" ht="21.95" customHeight="1" s="430">
      <c r="D7" s="455" t="n"/>
      <c r="J7">
        <f>IF(AND(E7&lt;&gt;"",ISNUMBER(MATCH(D7,HELPER!$AP$2:$AP$20,0))),E7+50,"")</f>
        <v/>
      </c>
      <c r="K7">
        <f t="array" ref="K7">_xlfn.LET(
            _xlpm.baseThick,IFERROR(INDEX(HELPER!$BX$2:$BX$75,MATCH(1,(HELPER!$BZ$2:$BZ$75=$C$3)*(HELPER!$CC$2:$CC$75=$AD$4)*(HELPER!$BW$2:$BW$75=D7),0)),""),
            _xlpm.materials,D$3:D$7,
            _xlpm.filmCount,SUMPRODUCT((LEFT(_xlpm.materials,2)="NK")+(ISNUMBER(SEARCH("paper",_xlpm.materials)))+(LEFT(_xlpm.materials,4)="TIPA")+(LEFT(_xlpm.materials,4)="PBAT")),
            _xlpm.isAdhesive,OR(ISNUMBER(SEARCH("RM G Epotal",D7)),ISNUMBER(SEARCH("RM G Basonat",D7))),
            IF(_xlpm.baseThick="","",IF(AND(_xlpm.filmCount&gt;=3,_xlpm.isAdhesive),_xlpm.baseThick*2,_xlpm.baseThick))
        )</f>
        <v/>
      </c>
      <c r="L7">
        <f>IFERROR(VLOOKUP(D7,HELPER!$AP$1:$AQ$20,2,FALSE),"")</f>
        <v/>
      </c>
      <c r="M7" s="593" t="n"/>
      <c r="N7">
        <f>IF(D7="","",IF(D7="TIPA 312 MET",IFERROR(VLOOKUP("TIPA 312 MFG",BOM!$Q$2:$R$50,2,FALSE),0)+5,IF(D7="NK",7.95,IFERROR(VLOOKUP(D7,BOM!$Q$2:$R$50,2,FALSE),IFERROR(VLOOKUP(D7,HELPER!$C$2:$E$32,3,FALSE),IFERROR(VLOOKUP(D7,HELPER!$A$2:$E$32,5,FALSE),""))))))</f>
        <v/>
      </c>
      <c r="P7" s="455">
        <f>IF(OR(D7="",D7="Total Thickness"),"",IFERROR(IF(O$3="Europe to Canada",IF(B$3&lt;1000,VLOOKUP(1000,HELPER!$AG$4:$AH$8,2,FALSE)/B$3,VLOOKUP(B$3,HELPER!$AG$4:$AH$8,2,TRUE)/B$3),IF(O$3="Europe to US",HELPER!$AH$2,IF(O$3="Europe to Europe",HELPER!$AH$3,0))),0))</f>
        <v/>
      </c>
      <c r="Q7" s="594">
        <f>IFERROR(M7*(N7+P7)," ")</f>
        <v/>
      </c>
      <c r="R7" s="595">
        <f>IFERROR((N7+P7)*M7/SUM($M$3:$M$8)," ")</f>
        <v/>
      </c>
      <c r="AC7" s="357" t="inlineStr">
        <is>
          <t>🖨️ PR/NonPR</t>
        </is>
      </c>
      <c r="AD7" s="358" t="inlineStr">
        <is>
          <t>Printed</t>
        </is>
      </c>
      <c r="AE7" s="359" t="n"/>
      <c r="AG7" s="370" t="inlineStr">
        <is>
          <t>🖨️ PR/NonPR</t>
        </is>
      </c>
      <c r="AH7" s="371" t="inlineStr">
        <is>
          <t>Not Printed</t>
        </is>
      </c>
      <c r="AI7" s="372" t="n"/>
      <c r="AK7" s="383" t="inlineStr">
        <is>
          <t>🖨️ PR/NonPR</t>
        </is>
      </c>
      <c r="AL7" s="384" t="inlineStr">
        <is>
          <t>Not Printed</t>
        </is>
      </c>
      <c r="AM7" s="385" t="n"/>
    </row>
    <row r="8" ht="21.95" customHeight="1" s="430">
      <c r="D8" s="54" t="n"/>
      <c r="J8">
        <f>IF(AND(E8&lt;&gt;"",ISNUMBER(MATCH(D8,HELPER!$AP$2:$AP$20,0))),E8+50,"")</f>
        <v/>
      </c>
      <c r="K8" s="353">
        <f>AD4</f>
        <v/>
      </c>
      <c r="L8">
        <f>IFERROR(VLOOKUP(D8,HELPER!$AP$1:$AQ$20,2,FALSE),"")</f>
        <v/>
      </c>
      <c r="M8" s="593" t="n"/>
      <c r="N8">
        <f>IF(D8="","",IF(D8="TIPA 312 MET",IFERROR(VLOOKUP("TIPA 312 MFG",BOM!$Q$2:$R$50,2,FALSE),0)+5,IF(D8="NK",7.95,IFERROR(VLOOKUP(D8,BOM!$Q$2:$R$50,2,FALSE),IFERROR(VLOOKUP(D8,HELPER!$C$2:$E$32,3,FALSE),IFERROR(VLOOKUP(D8,HELPER!$A$2:$E$32,5,FALSE),""))))))</f>
        <v/>
      </c>
      <c r="P8" s="455">
        <f>IF(OR(D8="",D8="Total Thickness"),"",IFERROR(IF(O$3="Europe to Canada",IF(B$3&lt;1000,VLOOKUP(1000,HELPER!$AG$4:$AH$8,2,FALSE)/B$3,VLOOKUP(B$3,HELPER!$AG$4:$AH$8,2,TRUE)/B$3),IF(O$3="Europe to US",HELPER!$AH$2,IF(O$3="Europe to Europe",HELPER!$AH$3,0))),0))</f>
        <v/>
      </c>
      <c r="Q8" s="594">
        <f>IFERROR(M8*(N8+P8)," ")</f>
        <v/>
      </c>
      <c r="R8" s="595">
        <f>IFERROR((N8+P8)*M8/SUM($M$3:$M$8)," ")</f>
        <v/>
      </c>
      <c r="AC8" s="357" t="inlineStr">
        <is>
          <t>🎨 No of colors</t>
        </is>
      </c>
      <c r="AD8" s="360" t="inlineStr">
        <is>
          <t>5-8</t>
        </is>
      </c>
      <c r="AE8" s="359" t="n"/>
      <c r="AG8" s="370" t="inlineStr">
        <is>
          <t>🎨 No of colors</t>
        </is>
      </c>
      <c r="AH8" s="373" t="inlineStr">
        <is>
          <t>0</t>
        </is>
      </c>
      <c r="AI8" s="372" t="n"/>
      <c r="AK8" s="383" t="inlineStr">
        <is>
          <t>🎨 No of colors</t>
        </is>
      </c>
      <c r="AL8" s="386" t="inlineStr">
        <is>
          <t>0</t>
        </is>
      </c>
      <c r="AM8" s="385" t="n"/>
    </row>
    <row r="9" ht="21.95" customHeight="1" s="430">
      <c r="A9" s="455" t="inlineStr">
        <is>
          <t>Kg</t>
        </is>
      </c>
      <c r="B9" s="453">
        <f>AH6</f>
        <v/>
      </c>
      <c r="C9" s="451">
        <f>AH3</f>
        <v/>
      </c>
      <c r="D9">
        <f t="array" ref="D9:D12">IFERROR(_xlfn.LET(_xlpm.lam,C9,_xlpm.thick,AH4,_xlfn.TAKE(_xlfn._xlws.FILTER(HELPER!$BW$2:$BW$75,(HELPER!$BZ$2:$BZ$75=_xlpm.lam)*(HELPER!$CC$2:$CC$75=_xlpm.thick)*(HELPER!$BW$2:$BW$75&lt;&gt;""),"No match"), 6)),"")</f>
        <v/>
      </c>
      <c r="E9" s="451">
        <f>AH5</f>
        <v/>
      </c>
      <c r="F9" s="451" t="n"/>
      <c r="G9" s="453">
        <f>IF(OR(A9="",B9=""),"",IF(A9="Kg",IF(SUM(M9:M14)=0,"",(1/SUM(M9:M14)*ROUNDDOWN((J9-30)/E9,0))*B9),IF(OR(A9="UN",A9="Impresssions"),B9*F9/1000,"")))</f>
        <v/>
      </c>
      <c r="H9" s="451">
        <f>AH7</f>
        <v/>
      </c>
      <c r="I9" s="454">
        <f>IF(AH7="Not Printed",0,AH8)</f>
        <v/>
      </c>
      <c r="J9">
        <f>IF(AND(E9&lt;&gt;"",ISNUMBER(MATCH(D9,HELPER!$AP$2:$AP$20,0))),$E$9+50,"")</f>
        <v/>
      </c>
      <c r="K9">
        <f t="array" ref="K9">_xlfn.LET(
            _xlpm.baseThick,IFERROR(INDEX(HELPER!$BX$2:$BX$75,MATCH(1,(HELPER!$BZ$2:$BZ$75=$C$9)*(HELPER!$CC$2:$CC$75=$AH$4)*(HELPER!$BW$2:$BW$75=D9),0)),""),
            _xlpm.materials,D$9:D$13,
            _xlpm.filmCount,SUMPRODUCT((LEFT(_xlpm.materials,2)="NK")+(ISNUMBER(SEARCH("paper",_xlpm.materials)))+(LEFT(_xlpm.materials,4)="TIPA")+(LEFT(_xlpm.materials,4)="PBAT")),
            _xlpm.isAdhesive,OR(ISNUMBER(SEARCH("RM G Epotal",D9)),ISNUMBER(SEARCH("RM G Basonat",D9))),
            IF(_xlpm.baseThick="","",IF(AND(_xlpm.filmCount&gt;=3,_xlpm.isAdhesive),_xlpm.baseThick*2,_xlpm.baseThick))
        )</f>
        <v/>
      </c>
      <c r="L9">
        <f>IFERROR(VLOOKUP(D9,HELPER!$AP$1:$AQ$20,2,FALSE),"")</f>
        <v/>
      </c>
      <c r="M9" s="593">
        <f>IF(D9=HELPER!AP18,42/1000*Laminates!J9/1000,Laminates!L9*1000*(Laminates!K9/1000000)*(Laminates!J9/1000))</f>
        <v/>
      </c>
      <c r="N9">
        <f>IF(D9="","",IF(D9="TIPA 312 MET",IFERROR(VLOOKUP("TIPA 312 MFG",BOM!$Q$2:$R$50,2,FALSE),0)+5,IF(D9="NK",7.95,IFERROR(VLOOKUP(D9,BOM!$Q$2:$R$50,2,FALSE),IFERROR(VLOOKUP(D9,HELPER!$C$2:$E$32,3,FALSE),IFERROR(VLOOKUP(D9,HELPER!$A$2:$E$32,5,FALSE),""))))))</f>
        <v/>
      </c>
      <c r="O9" s="451">
        <f>AH9</f>
        <v/>
      </c>
      <c r="P9" s="455">
        <f>IF(OR(D9="",D9="Total Thickness"),"",IFERROR(IF(O$9="Europe to Canada",IF(B$9&lt;1000,VLOOKUP(1000,HELPER!$AG$4:$AH$8,2,FALSE)/B$9,VLOOKUP(B$9,HELPER!$AG$4:$AH$8,2,TRUE)/B$9),IF(O$9="Europe to US",HELPER!$AH$2,IF(O$9="Europe to Europe",HELPER!$AH$3,0))),0))</f>
        <v/>
      </c>
      <c r="Q9" s="594">
        <f>IFERROR(M9*(N9+P9)," ")</f>
        <v/>
      </c>
      <c r="R9" s="595">
        <f>IFERROR((N9+P9)*M9/SUM($M$3:$M$8)," ")</f>
        <v/>
      </c>
      <c r="S9" s="451">
        <f>AH10</f>
        <v/>
      </c>
      <c r="T9" s="597">
        <f t="array" ref="T9">IF($S9="","",IF($E9&gt;1220,"Error! please choose width not higher than 1220",_xlfn.LET(_xlpm.len,$G9,_xlpm.colNum,IF(_xlpm.len&lt;3000,1,IF(_xlpm.len&lt;10000,2,IF(_xlpm.len&lt;25000,3,IF(_xlpm.len&lt;50000,4,IF(_xlpm.len&lt;100000,5,IF(_xlpm.len&lt;250000,6,IF(_xlpm.len&lt;500000,7,8))))))),_xlpm.widthRow,IF($E9&lt;=990,0,5),_xlpm.supplierRow,IF($S9="Marma",3,IF($S9="Bastin",13,0)),IF(_xlpm.supplierRow=0,"",INDEX('Lmntn &amp; Prntng- Marma &amp; Bastin '!$D:$K,_xlpm.supplierRow+_xlpm.widthRow,_xlpm.colNum)))))</f>
        <v/>
      </c>
      <c r="U9" s="597">
        <f t="array" ref="U9">IF(OR($S9="",$I9=0,$I9="0"),"",IF($E9&gt;1220,"Error! please choose width not higher than 1220",_xlfn.LET(_xlpm.len,$G9,_xlpm.colors,$I9,_xlpm.colNum,IF(_xlpm.len&lt;3000,1,IF(_xlpm.len&lt;10000,2,IF(_xlpm.len&lt;25000,3,IF(_xlpm.len&lt;50000,4,IF(_xlpm.len&lt;100000,5,IF(_xlpm.len&lt;250000,6,IF(_xlpm.len&lt;500000,7,8))))))),_xlpm.widthRow,IF($E9&lt;=990,0,5),_xlpm.colorOffset,IF(OR(_xlpm.colors=1,_xlpm.colors=2,_xlpm.colors="1-2"),1,IF(OR(_xlpm.colors=3,_xlpm.colors=4,_xlpm.colors="3-4"),2,IF(OR(_xlpm.colors&gt;=5,_xlpm.colors="5-6",_xlpm.colors="5-8"),3,0))),_xlpm.supplierRow,IF($S9="Marma",3,IF($S9="Bastin",13,0)),IF(OR(_xlpm.supplierRow=0,_xlpm.colorOffset=0),"",INDEX('Lmntn &amp; Prntng- Marma &amp; Bastin '!$D:$K,_xlpm.supplierRow+_xlpm.widthRow+_xlpm.colorOffset,_xlpm.colNum)))))</f>
        <v/>
      </c>
      <c r="V9" s="597">
        <f t="array" ref="V9">IF($S9="","",IF($E9&gt;1220,"Error! please choose width not higher than 1220",_xlfn.LET(_xlpm.len,$G9,_xlpm.colNum,IF(_xlpm.len&lt;3000,1,IF(_xlpm.len&lt;10000,2,IF(_xlpm.len&lt;25000,3,IF(_xlpm.len&lt;50000,4,IF(_xlpm.len&lt;100000,5,IF(_xlpm.len&lt;250000,6,IF(_xlpm.len&lt;500000,7,8))))))),_xlpm.widthRow,IF($E9&lt;=990,0,5),_xlpm.supplierRow,IF($S9="Marma",7,IF($S9="Bastin",17,0)),IF(_xlpm.supplierRow=0,"",INDEX('Lmntn &amp; Prntng- Marma &amp; Bastin '!$D:$K,_xlpm.supplierRow+_xlpm.widthRow,_xlpm.colNum)))))</f>
        <v/>
      </c>
      <c r="W9" s="474">
        <f>AH20*0.06</f>
        <v/>
      </c>
      <c r="X9" s="474">
        <f>IF(H9="Printed",AH20*0.028,0)</f>
        <v/>
      </c>
      <c r="Y9" s="474">
        <f>(AH20+AH21+AH23)+AH20*(0.06+IF(H9="Printed",0.028,0))</f>
        <v/>
      </c>
      <c r="AC9" s="357" t="inlineStr">
        <is>
          <t>🚚 Shipment</t>
        </is>
      </c>
      <c r="AD9" s="358" t="inlineStr">
        <is>
          <t>Europe to US</t>
        </is>
      </c>
      <c r="AE9" s="359" t="n"/>
      <c r="AG9" s="370" t="inlineStr">
        <is>
          <t>🚚 Shipment</t>
        </is>
      </c>
      <c r="AH9" s="371" t="inlineStr">
        <is>
          <t>Europe to US</t>
        </is>
      </c>
      <c r="AI9" s="372" t="n"/>
      <c r="AK9" s="383" t="inlineStr">
        <is>
          <t>🚚 Shipment</t>
        </is>
      </c>
      <c r="AL9" s="384" t="inlineStr">
        <is>
          <t>Europe to Europe</t>
        </is>
      </c>
      <c r="AM9" s="385" t="n"/>
    </row>
    <row r="10" ht="21.95" customHeight="1" s="430">
      <c r="D10" t="inlineStr">
        <is>
          <t>TIPA 312 MET</t>
        </is>
      </c>
      <c r="J10">
        <f>IF(AND(E9&lt;&gt;"",ISNUMBER(MATCH(D10,HELPER!$AP$2:$AP$20,0))),$E$9+50,"")</f>
        <v/>
      </c>
      <c r="K10">
        <f t="array" ref="K10">_xlfn.LET(
            _xlpm.baseThick,IFERROR(INDEX(HELPER!$BX$2:$BX$75,MATCH(1,(HELPER!$BZ$2:$BZ$75=$C$9)*(HELPER!$CC$2:$CC$75=$AH$4)*(HELPER!$BW$2:$BW$75=D10),0)),""),
            _xlpm.materials,D$9:D$13,
            _xlpm.filmCount,SUMPRODUCT((LEFT(_xlpm.materials,2)="NK")+(ISNUMBER(SEARCH("paper",_xlpm.materials)))+(LEFT(_xlpm.materials,4)="TIPA")+(LEFT(_xlpm.materials,4)="PBAT")),
            _xlpm.isAdhesive,OR(ISNUMBER(SEARCH("RM G Epotal",D10)),ISNUMBER(SEARCH("RM G Basonat",D10))),
            IF(_xlpm.baseThick="","",IF(AND(_xlpm.filmCount&gt;=3,_xlpm.isAdhesive),_xlpm.baseThick*2,_xlpm.baseThick))
        )</f>
        <v/>
      </c>
      <c r="L10">
        <f>IFERROR(VLOOKUP(D10,HELPER!$AP$1:$AQ$20,2,FALSE),"")</f>
        <v/>
      </c>
      <c r="M10" s="593">
        <f>IF(D10=HELPER!AP19,42/1000*Laminates!J10/1000,Laminates!L10*1000*(Laminates!K10/1000000)*(Laminates!J10/1000))</f>
        <v/>
      </c>
      <c r="N10" s="352">
        <f>IF(D10="","",IF(D10="TIPA 312 MET",IFERROR(VLOOKUP("TIPA 312 MFG",BOM!$Q$2:$R$50,2,FALSE),0)+5,IF(D10="NK",7.95,IFERROR(VLOOKUP(D10,BOM!$Q$2:$R$50,2,FALSE),IFERROR(VLOOKUP(D10,HELPER!$C$2:$E$32,3,FALSE),IFERROR(VLOOKUP(D10,HELPER!$A$2:$E$32,5,FALSE),""))))))</f>
        <v/>
      </c>
      <c r="P10" s="455">
        <f>IF(OR(D10="",D10="Total Thickness"),"",IFERROR(IF(O$9="Europe to Canada",IF(B$9&lt;1000,VLOOKUP(1000,HELPER!$AG$4:$AH$8,2,FALSE)/B$9,VLOOKUP(B$9,HELPER!$AG$4:$AH$8,2,TRUE)/B$9),IF(O$9="Europe to US",HELPER!$AH$2,IF(O$9="Europe to Europe",HELPER!$AH$3,0))),0))</f>
        <v/>
      </c>
      <c r="Q10" s="594">
        <f>IFERROR(M10*(N10+P10)," ")</f>
        <v/>
      </c>
      <c r="R10" s="595">
        <f>IFERROR((N10+P10)*M10/SUM($M$3:$M$8)," ")</f>
        <v/>
      </c>
      <c r="AC10" s="357" t="inlineStr">
        <is>
          <t>💼 Supplier</t>
        </is>
      </c>
      <c r="AD10" s="358" t="inlineStr">
        <is>
          <t>Bastin</t>
        </is>
      </c>
      <c r="AE10" s="359" t="n"/>
      <c r="AG10" s="370" t="inlineStr">
        <is>
          <t>💼 Supplier</t>
        </is>
      </c>
      <c r="AH10" s="371" t="inlineStr">
        <is>
          <t>Bastin</t>
        </is>
      </c>
      <c r="AI10" s="372" t="n"/>
      <c r="AK10" s="383" t="inlineStr">
        <is>
          <t>💼 Supplier</t>
        </is>
      </c>
      <c r="AL10" s="384" t="inlineStr">
        <is>
          <t>Bastin</t>
        </is>
      </c>
      <c r="AM10" s="385" t="n"/>
    </row>
    <row r="11">
      <c r="D11" t="inlineStr">
        <is>
          <t>TIPA 312 MET</t>
        </is>
      </c>
      <c r="J11">
        <f>IF(AND(E9&lt;&gt;"",ISNUMBER(MATCH(D11,HELPER!$AP$2:$AP$20,0))),E9+50,"")</f>
        <v/>
      </c>
      <c r="K11">
        <f t="array" ref="K11">_xlfn.LET(
            _xlpm.baseThick,IFERROR(INDEX(HELPER!$BX$2:$BX$75,MATCH(1,(HELPER!$BZ$2:$BZ$75=$C$9)*(HELPER!$CC$2:$CC$75=$AH$4)*(HELPER!$BW$2:$BW$75=D11),0)),""),
            _xlpm.materials,D$9:D$13,
            _xlpm.filmCount,SUMPRODUCT((LEFT(_xlpm.materials,2)="NK")+(ISNUMBER(SEARCH("paper",_xlpm.materials)))+(LEFT(_xlpm.materials,4)="TIPA")+(LEFT(_xlpm.materials,4)="PBAT")),
            _xlpm.isAdhesive,OR(ISNUMBER(SEARCH("RM G Epotal",D11)),ISNUMBER(SEARCH("RM G Basonat",D11))),
            IF(_xlpm.baseThick="","",IF(AND(_xlpm.filmCount&gt;=3,_xlpm.isAdhesive),_xlpm.baseThick*2,_xlpm.baseThick))
        )</f>
        <v/>
      </c>
      <c r="L11">
        <f>IFERROR(VLOOKUP(D11,HELPER!$AP$1:$AQ$20,2,FALSE),"")</f>
        <v/>
      </c>
      <c r="M11" s="593">
        <f>IF(OR(L11="",L11=0),"",L11*1000*(K11/1000000)*(J11/1000))</f>
        <v/>
      </c>
      <c r="N11">
        <f>IF(D11="","",IF(D11="TIPA 312 MET",IFERROR(VLOOKUP("TIPA 312 MFG",BOM!$Q$2:$R$50,2,FALSE),0)+5,IF(D11="NK",7.95,IFERROR(VLOOKUP(D11,BOM!$Q$2:$R$50,2,FALSE),IFERROR(VLOOKUP(D11,HELPER!$C$2:$E$32,3,FALSE),IFERROR(VLOOKUP(D11,HELPER!$A$2:$E$32,5,FALSE),""))))))</f>
        <v/>
      </c>
      <c r="P11" s="455">
        <f>IF(OR(D11="",D11="Total Thickness"),"",IFERROR(IF(O$9="Europe to Canada",IF(B$9&lt;1000,VLOOKUP(1000,HELPER!$AG$4:$AH$8,2,FALSE)/B$9,VLOOKUP(B$9,HELPER!$AG$4:$AH$8,2,TRUE)/B$9),IF(O$9="Europe to US",HELPER!$AH$2,IF(O$9="Europe to Europe",HELPER!$AH$3,0))),0))</f>
        <v/>
      </c>
      <c r="Q11" s="594">
        <f>IFERROR(M11*(N11+P11)," ")</f>
        <v/>
      </c>
      <c r="R11" s="595">
        <f>IFERROR((N11+P11)*M11/SUM($M$3:$M$8)," ")</f>
        <v/>
      </c>
      <c r="AC11" s="361" t="inlineStr">
        <is>
          <t>(Options)</t>
        </is>
      </c>
      <c r="AD11" s="362">
        <f>IFERROR(_xlfn.TEXTJOIN(", ",TRUE,_xlfn.ANCHORARRAY(HELPER!$CD$2)),"")</f>
        <v/>
      </c>
      <c r="AE11" s="363" t="inlineStr">
        <is>
          <t>µ</t>
        </is>
      </c>
      <c r="AG11" s="374" t="inlineStr">
        <is>
          <t>(Options)</t>
        </is>
      </c>
      <c r="AH11" s="375">
        <f>IFERROR(_xlfn.TEXTJOIN(", ",TRUE,_xlfn.ANCHORARRAY(HELPER!$CE$2)),"")</f>
        <v/>
      </c>
      <c r="AI11" s="376" t="inlineStr">
        <is>
          <t>µ</t>
        </is>
      </c>
      <c r="AK11" s="387" t="inlineStr">
        <is>
          <t>(Options)</t>
        </is>
      </c>
      <c r="AL11" s="388">
        <f>IFERROR(_xlfn.TEXTJOIN(", ",TRUE,_xlfn.ANCHORARRAY(HELPER!$CF$2)),"")</f>
        <v/>
      </c>
      <c r="AM11" s="389" t="inlineStr">
        <is>
          <t>µ</t>
        </is>
      </c>
    </row>
    <row r="12" ht="24.95" customHeight="1" s="430">
      <c r="D12" t="inlineStr">
        <is>
          <t>RM G Epotal ECO 3675</t>
        </is>
      </c>
      <c r="J12">
        <f>IF(AND(E12&lt;&gt;"",ISNUMBER(MATCH(D12,HELPER!$AP$2:$AP$20,0))),E12+50,"")</f>
        <v/>
      </c>
      <c r="K12">
        <f t="array" ref="K12">_xlfn.LET(
            _xlpm.baseThick,IFERROR(INDEX(HELPER!$BX$2:$BX$75,MATCH(1,(HELPER!$BZ$2:$BZ$75=$C$9)*(HELPER!$CC$2:$CC$75=$AH$4)*(HELPER!$BW$2:$BW$75=D12),0)),""),
            _xlpm.materials,D$9:D$13,
            _xlpm.filmCount,SUMPRODUCT((LEFT(_xlpm.materials,2)="NK")+(ISNUMBER(SEARCH("paper",_xlpm.materials)))+(LEFT(_xlpm.materials,4)="TIPA")+(LEFT(_xlpm.materials,4)="PBAT")),
            _xlpm.isAdhesive,OR(ISNUMBER(SEARCH("RM G Epotal",D12)),ISNUMBER(SEARCH("RM G Basonat",D12))),
            IF(_xlpm.baseThick="","",IF(AND(_xlpm.filmCount&gt;=3,_xlpm.isAdhesive),_xlpm.baseThick*2,_xlpm.baseThick))
        )</f>
        <v/>
      </c>
      <c r="L12">
        <f>IFERROR(VLOOKUP(D12,HELPER!$AP$1:$AQ$20,2,FALSE),"")</f>
        <v/>
      </c>
      <c r="M12" s="593">
        <f>IF(ISNUMBER(SEARCH("Epotal",D12)),(COUNTIF(D9:D11,"&lt;&gt;")-1)*0.0025*J9/1000,"")</f>
        <v/>
      </c>
      <c r="N12">
        <f>IF(D12="","",IF(D12="TIPA 312 MET",IFERROR(VLOOKUP("TIPA 312 MFG",BOM!$Q$2:$R$50,2,FALSE),0)+5,IF(D12="NK",7.95,IFERROR(VLOOKUP(D12,BOM!$Q$2:$R$50,2,FALSE),IFERROR(VLOOKUP(D12,HELPER!$C$2:$E$32,3,FALSE),IFERROR(VLOOKUP(D12,HELPER!$A$2:$E$32,5,FALSE),""))))))</f>
        <v/>
      </c>
      <c r="P12" s="455">
        <f>IF(OR(D12="",D12="Total Thickness"),"",IFERROR(IF(O$9="Europe to Canada",IF(B$9&lt;1000,VLOOKUP(1000,HELPER!$AG$4:$AH$8,2,FALSE)/B$9,VLOOKUP(B$9,HELPER!$AG$4:$AH$8,2,TRUE)/B$9),IF(O$9="Europe to US",HELPER!$AH$2,IF(O$9="Europe to Europe",HELPER!$AH$3,0))),0))</f>
        <v/>
      </c>
      <c r="Q12" s="594">
        <f>IFERROR(M12*(N12+P12)," ")</f>
        <v/>
      </c>
      <c r="R12" s="595">
        <f>IFERROR((N12+P12)*M12/SUM($M$3:$M$8)," ")</f>
        <v/>
      </c>
      <c r="AC12" s="459" t="inlineStr">
        <is>
          <t>📈 RESULTS</t>
        </is>
      </c>
      <c r="AD12" s="598" t="n"/>
      <c r="AE12" s="599" t="n"/>
      <c r="AG12" s="465" t="inlineStr">
        <is>
          <t>📈 RESULTS</t>
        </is>
      </c>
      <c r="AH12" s="600" t="n"/>
      <c r="AI12" s="601" t="n"/>
      <c r="AK12" s="471" t="inlineStr">
        <is>
          <t>📈 RESULTS</t>
        </is>
      </c>
      <c r="AL12" s="602" t="n"/>
      <c r="AM12" s="603" t="n"/>
    </row>
    <row r="13" ht="21.95" customHeight="1" s="430">
      <c r="J13">
        <f>IF(AND(E13&lt;&gt;"",ISNUMBER(MATCH(D13,HELPER!$AP$2:$AP$20,0))),E13+50,"")</f>
        <v/>
      </c>
      <c r="K13">
        <f t="array" ref="K13">_xlfn.LET(
            _xlpm.baseThick,IFERROR(INDEX(HELPER!$BX$2:$BX$75,MATCH(1,(HELPER!$BZ$2:$BZ$75=$C$9)*(HELPER!$CC$2:$CC$75=$AH$4)*(HELPER!$BW$2:$BW$75=D13),0)),""),
            _xlpm.materials,D$9:D$13,
            _xlpm.filmCount,SUMPRODUCT((LEFT(_xlpm.materials,2)="NK")+(ISNUMBER(SEARCH("paper",_xlpm.materials)))+(LEFT(_xlpm.materials,4)="TIPA")+(LEFT(_xlpm.materials,4)="PBAT")),
            _xlpm.isAdhesive,OR(ISNUMBER(SEARCH("RM G Epotal",D13)),ISNUMBER(SEARCH("RM G Basonat",D13))),
            IF(_xlpm.baseThick="","",IF(AND(_xlpm.filmCount&gt;=3,_xlpm.isAdhesive),_xlpm.baseThick*2,_xlpm.baseThick))
        )</f>
        <v/>
      </c>
      <c r="L13">
        <f>IFERROR(VLOOKUP(D13,HELPER!$AP$1:$AQ$20,2,FALSE),"")</f>
        <v/>
      </c>
      <c r="M13" s="593" t="n"/>
      <c r="N13">
        <f>IF(D13="","",IF(D13="TIPA 312 MET",IFERROR(VLOOKUP("TIPA 312 MFG",BOM!$Q$2:$R$50,2,FALSE),0)+5,IF(D13="NK",7.95,IFERROR(VLOOKUP(D13,BOM!$Q$2:$R$50,2,FALSE),IFERROR(VLOOKUP(D13,HELPER!$C$2:$E$32,3,FALSE),IFERROR(VLOOKUP(D13,HELPER!$A$2:$E$32,5,FALSE),""))))))</f>
        <v/>
      </c>
      <c r="P13" s="455">
        <f>IF(OR(D13="",D13="Total Thickness"),"",IFERROR(IF(O$9="Europe to Canada",IF(B$9&lt;1000,VLOOKUP(1000,HELPER!$AG$4:$AH$8,2,FALSE)/B$9,VLOOKUP(B$9,HELPER!$AG$4:$AH$8,2,TRUE)/B$9),IF(O$9="Europe to US",HELPER!$AH$2,IF(O$9="Europe to Europe",HELPER!$AH$3,0))),0))</f>
        <v/>
      </c>
      <c r="Q13" s="594">
        <f>IFERROR(M13*(N13+P13)," ")</f>
        <v/>
      </c>
      <c r="R13" s="595">
        <f>IFERROR((N13+P13)*M13/SUM($M$3:$M$8)," ")</f>
        <v/>
      </c>
      <c r="AC13" s="364" t="inlineStr">
        <is>
          <t>📏 Laminate Length</t>
        </is>
      </c>
      <c r="AD13" s="365">
        <f>IFERROR(TEXT(ROUND(AD19,0),"#,##0"),"")</f>
        <v/>
      </c>
      <c r="AE13" s="366" t="inlineStr">
        <is>
          <t>m</t>
        </is>
      </c>
      <c r="AG13" s="377" t="inlineStr">
        <is>
          <t>📏 Laminate Length</t>
        </is>
      </c>
      <c r="AH13" s="378">
        <f>IFERROR(TEXT(ROUND(AH19,0),"#,##0"),"")</f>
        <v/>
      </c>
      <c r="AI13" s="379" t="inlineStr">
        <is>
          <t>m</t>
        </is>
      </c>
      <c r="AK13" s="390" t="inlineStr">
        <is>
          <t>📏 Laminate Length</t>
        </is>
      </c>
      <c r="AL13" s="391">
        <f>IFERROR(TEXT(ROUND(AL19,0),"#,##0"),"")</f>
        <v/>
      </c>
      <c r="AM13" s="392" t="inlineStr">
        <is>
          <t>m</t>
        </is>
      </c>
    </row>
    <row r="14" ht="21.95" customHeight="1" s="430">
      <c r="D14" s="54" t="n"/>
      <c r="J14">
        <f>IF(AND(E14&lt;&gt;"",ISNUMBER(MATCH(D14,HELPER!$AP$2:$AP$20,0))),E14+50,"")</f>
        <v/>
      </c>
      <c r="K14" s="353">
        <f>AH4</f>
        <v/>
      </c>
      <c r="L14">
        <f>IFERROR(VLOOKUP(D14,HELPER!$AP$1:$AQ$20,2,FALSE),"")</f>
        <v/>
      </c>
      <c r="M14" s="593" t="n"/>
      <c r="N14">
        <f>IF(D14="","",IF(D14="TIPA 312 MET",IFERROR(VLOOKUP("TIPA 312 MFG",BOM!$Q$2:$R$50,2,FALSE),0)+5,IF(D14="NK",7.95,IFERROR(VLOOKUP(D14,BOM!$Q$2:$R$50,2,FALSE),IFERROR(VLOOKUP(D14,HELPER!$C$2:$E$32,3,FALSE),IFERROR(VLOOKUP(D14,HELPER!$A$2:$E$32,5,FALSE),""))))))</f>
        <v/>
      </c>
      <c r="P14" s="455">
        <f>IF(OR(D14="",D14="Total Thickness"),"",IFERROR(IF(O$9="Europe to Canada",IF(B$9&lt;1000,VLOOKUP(1000,HELPER!$AG$4:$AH$8,2,FALSE)/B$9,VLOOKUP(B$9,HELPER!$AG$4:$AH$8,2,TRUE)/B$9),IF(O$9="Europe to US",HELPER!$AH$2,IF(O$9="Europe to Europe",HELPER!$AH$3,0))),0))</f>
        <v/>
      </c>
      <c r="Q14" s="594">
        <f>IFERROR(M14*(N14+P14)," ")</f>
        <v/>
      </c>
      <c r="R14" s="595">
        <f>IFERROR((N14+P14)*M14/SUM($M$3:$M$8)," ")</f>
        <v/>
      </c>
      <c r="AC14" s="364" t="inlineStr">
        <is>
          <t>💶 Total Cost (€)</t>
        </is>
      </c>
      <c r="AD14" s="365">
        <f>IFERROR(TEXT(ROUND(AD6*(AD20+AD21+AD23),2),"€ #,##0.00"),"")</f>
        <v/>
      </c>
      <c r="AE14" s="366" t="inlineStr">
        <is>
          <t>€</t>
        </is>
      </c>
      <c r="AG14" s="377" t="inlineStr">
        <is>
          <t>💶 Total Cost (€)</t>
        </is>
      </c>
      <c r="AH14" s="378">
        <f>IFERROR(TEXT(ROUND(AH6*(AH20+AH21+AH23),2),"€ #,##0.00"),"")</f>
        <v/>
      </c>
      <c r="AI14" s="379" t="inlineStr">
        <is>
          <t>€</t>
        </is>
      </c>
      <c r="AK14" s="390" t="inlineStr">
        <is>
          <t>💶 Total Cost (€)</t>
        </is>
      </c>
      <c r="AL14" s="391">
        <f>IFERROR(TEXT(ROUND(AL6*(AL20+AL21+AL23),2),"€ #,##0.00"),"")</f>
        <v/>
      </c>
      <c r="AM14" s="392" t="inlineStr">
        <is>
          <t>€</t>
        </is>
      </c>
    </row>
    <row r="15" ht="21.95" customHeight="1" s="430">
      <c r="A15" s="455" t="inlineStr">
        <is>
          <t>Kg</t>
        </is>
      </c>
      <c r="B15" s="453">
        <f>AL6</f>
        <v/>
      </c>
      <c r="C15" s="451">
        <f>AL3</f>
        <v/>
      </c>
      <c r="D15">
        <f t="array" ref="D15:D17">IFERROR(_xlfn.LET(_xlpm.lam,C15,_xlpm.thick,AL4,_xlfn.TAKE(_xlfn._xlws.FILTER(HELPER!$BW$2:$BW$75,(HELPER!$BZ$2:$BZ$75=_xlpm.lam)*(HELPER!$CC$2:$CC$75=_xlpm.thick)*(HELPER!$BW$2:$BW$75&lt;&gt;""),"No match"), 6)),"")</f>
        <v/>
      </c>
      <c r="E15" s="451">
        <f>AL5</f>
        <v/>
      </c>
      <c r="F15" s="451" t="n"/>
      <c r="G15" s="453">
        <f>IF(OR(A15="",B15=""),"",IF(A15="Kg",IF(SUM(M15:M20)=0,"",(1/SUM(M15:M20)*ROUNDDOWN((J15-30)/E15,0))*B15),IF(OR(A15="UN",A15="Impresssions"),B15*F15/1000,"")))</f>
        <v/>
      </c>
      <c r="H15" s="451">
        <f>AL7</f>
        <v/>
      </c>
      <c r="I15" s="454">
        <f>IF(AL7="Not Printed",0,AL8)</f>
        <v/>
      </c>
      <c r="J15">
        <f>IF(AND(E15&lt;&gt;"",ISNUMBER(MATCH(D15,HELPER!$AP$2:$AP$20,0))),$E$15+50,"")</f>
        <v/>
      </c>
      <c r="K15">
        <f t="array" ref="K15">_xlfn.LET(
            _xlpm.baseThick,IFERROR(INDEX(HELPER!$BX$2:$BX$75,MATCH(1,(HELPER!$BZ$2:$BZ$75=$C$15)*(HELPER!$CC$2:$CC$75=$AL$4)*(HELPER!$BW$2:$BW$75=D15),0)),""),
            _xlpm.materials,D$15:D$19,
            _xlpm.filmCount,SUMPRODUCT((LEFT(_xlpm.materials,2)="NK")+(ISNUMBER(SEARCH("paper",_xlpm.materials)))+(LEFT(_xlpm.materials,4)="TIPA")+(LEFT(_xlpm.materials,4)="PBAT")),
            _xlpm.isAdhesive,OR(ISNUMBER(SEARCH("RM G Epotal",D15)),ISNUMBER(SEARCH("RM G Basonat",D15))),
            IF(_xlpm.baseThick="","",IF(AND(_xlpm.filmCount&gt;=3,_xlpm.isAdhesive),_xlpm.baseThick*2,_xlpm.baseThick))
        )</f>
        <v/>
      </c>
      <c r="L15">
        <f>IFERROR(VLOOKUP(D15,HELPER!$AP$1:$AQ$20,2,FALSE),"")</f>
        <v/>
      </c>
      <c r="M15">
        <f>IF(D15="","",Laminates!L15*1000*(Laminates!K15/1000000)*(Laminates!J15/1000))</f>
        <v/>
      </c>
      <c r="N15">
        <f>IF(D15="","",IF(D15="TIPA 312 MET",IFERROR(VLOOKUP("TIPA 312 MFG",BOM!$Q$2:$R$50,2,FALSE),0)+5,IF(D15="NK",7.95,IFERROR(VLOOKUP(D15,BOM!$Q$2:$R$50,2,FALSE),IFERROR(VLOOKUP(D15,HELPER!$C$2:$E$32,3,FALSE),IFERROR(VLOOKUP(D15,HELPER!$A$2:$E$32,5,FALSE),""))))))</f>
        <v/>
      </c>
      <c r="O15" s="451">
        <f>AL9</f>
        <v/>
      </c>
      <c r="P15" s="455">
        <f>IF(OR(D15="",D15="Total Thickness"),"",IFERROR(IF(O$15="Europe to Canada",IF(B$15&lt;1000,VLOOKUP(1000,HELPER!$AG$4:$AH$8,2,FALSE)/B$15,VLOOKUP(B$15,HELPER!$AG$4:$AH$8,2,TRUE)/B$15),IF(O$15="Europe to US",HELPER!$AH$2,IF(O$15="Europe to Europe",HELPER!$AH$3,0))),0))</f>
        <v/>
      </c>
      <c r="Q15" s="594">
        <f>IFERROR(M15*(N15+P15)," ")</f>
        <v/>
      </c>
      <c r="R15" s="595">
        <f>IFERROR((N15+P15)*M15/SUM($M$3:$M$8)," ")</f>
        <v/>
      </c>
      <c r="S15" s="451">
        <f>AL10</f>
        <v/>
      </c>
      <c r="T15" s="597">
        <f t="array" ref="T15">IF($S15="","",IF($E15&gt;1220,"Error! please choose width not higher than 1220",_xlfn.LET(_xlpm.len,$G15,_xlpm.colNum,IF(_xlpm.len&lt;3000,1,IF(_xlpm.len&lt;10000,2,IF(_xlpm.len&lt;25000,3,IF(_xlpm.len&lt;50000,4,IF(_xlpm.len&lt;100000,5,IF(_xlpm.len&lt;250000,6,IF(_xlpm.len&lt;500000,7,8))))))),_xlpm.widthRow,IF($E15&lt;=990,0,5),_xlpm.supplierRow,IF($S15="Marma",3,IF($S15="Bastin",13,0)),IF(_xlpm.supplierRow=0,"",INDEX('Lmntn &amp; Prntng- Marma &amp; Bastin '!$D:$K,_xlpm.supplierRow+_xlpm.widthRow,_xlpm.colNum)))))</f>
        <v/>
      </c>
      <c r="U15" s="597">
        <f t="array" ref="U15">IF(OR($S15="",$I15=0,$I15="0"),"",IF($E15&gt;1220,"Error! please choose width not higher than 1220",_xlfn.LET(_xlpm.len,$G15,_xlpm.colors,$I15,_xlpm.colNum,IF(_xlpm.len&lt;3000,1,IF(_xlpm.len&lt;10000,2,IF(_xlpm.len&lt;25000,3,IF(_xlpm.len&lt;50000,4,IF(_xlpm.len&lt;100000,5,IF(_xlpm.len&lt;250000,6,IF(_xlpm.len&lt;500000,7,8))))))),_xlpm.widthRow,IF($E15&lt;=990,0,5),_xlpm.colorOffset,IF(OR(_xlpm.colors=1,_xlpm.colors=2,_xlpm.colors="1-2"),1,IF(OR(_xlpm.colors=3,_xlpm.colors=4,_xlpm.colors="3-4"),2,IF(OR(_xlpm.colors&gt;=5,_xlpm.colors="5-6",_xlpm.colors="5-8"),3,0))),_xlpm.supplierRow,IF($S15="Marma",3,IF($S15="Bastin",13,0)),IF(OR(_xlpm.supplierRow=0,_xlpm.colorOffset=0),"",INDEX('Lmntn &amp; Prntng- Marma &amp; Bastin '!$D:$K,_xlpm.supplierRow+_xlpm.widthRow+_xlpm.colorOffset,_xlpm.colNum)))))</f>
        <v/>
      </c>
      <c r="V15" s="597">
        <f t="array" ref="V15">IF($S15="","",IF($E15&gt;1220,"Error! please choose width not higher than 1220",_xlfn.LET(_xlpm.len,$G15,_xlpm.colNum,IF(_xlpm.len&lt;3000,1,IF(_xlpm.len&lt;10000,2,IF(_xlpm.len&lt;25000,3,IF(_xlpm.len&lt;50000,4,IF(_xlpm.len&lt;100000,5,IF(_xlpm.len&lt;250000,6,IF(_xlpm.len&lt;500000,7,8))))))),_xlpm.widthRow,IF($E15&lt;=990,0,5),_xlpm.supplierRow,IF($S15="Marma",7,IF($S15="Bastin",17,0)),IF(_xlpm.supplierRow=0,"",INDEX('Lmntn &amp; Prntng- Marma &amp; Bastin '!$D:$K,_xlpm.supplierRow+_xlpm.widthRow,_xlpm.colNum)))))</f>
        <v/>
      </c>
      <c r="W15" s="474">
        <f>AL20*0.06</f>
        <v/>
      </c>
      <c r="X15" s="474">
        <f>IF(H15="Printed",AL20*0.028,0)</f>
        <v/>
      </c>
      <c r="Y15" s="474">
        <f>(AL20+AL21+AL23)+AL20*(0.06+IF(H15="Printed",0.028,0))</f>
        <v/>
      </c>
      <c r="AC15" s="364" t="inlineStr">
        <is>
          <t>💵 Total Cost ($)</t>
        </is>
      </c>
      <c r="AD15" s="365">
        <f>IFERROR(TEXT(ROUND(AD6*(AD20+AD21+AD23)*HELPER!$AK$2,2),"$ #,##0.00"),"")</f>
        <v/>
      </c>
      <c r="AE15" s="366" t="inlineStr">
        <is>
          <t>$</t>
        </is>
      </c>
      <c r="AG15" s="377" t="inlineStr">
        <is>
          <t>💵 Total Cost ($)</t>
        </is>
      </c>
      <c r="AH15" s="378">
        <f>IFERROR(TEXT(ROUND(AH6*(AH20+AH21+AH23)*HELPER!$AK$2,2),"$ #,##0.00"),"")</f>
        <v/>
      </c>
      <c r="AI15" s="379" t="inlineStr">
        <is>
          <t>$</t>
        </is>
      </c>
      <c r="AK15" s="390" t="inlineStr">
        <is>
          <t>💵 Total Cost ($)</t>
        </is>
      </c>
      <c r="AL15" s="391">
        <f>IFERROR(TEXT(ROUND(AL6*(AL20+AL21+AL23)*HELPER!$AK$2,2),"$ #,##0.00"),"")</f>
        <v/>
      </c>
      <c r="AM15" s="392" t="inlineStr">
        <is>
          <t>$</t>
        </is>
      </c>
    </row>
    <row r="16" ht="21.95" customHeight="1" s="430">
      <c r="D16" t="inlineStr">
        <is>
          <t>TIPA 302FG</t>
        </is>
      </c>
      <c r="J16">
        <f>IF(AND(E15&lt;&gt;"",ISNUMBER(MATCH(D16,HELPER!$AP$2:$AP$20,0))),$E$15+50,"")</f>
        <v/>
      </c>
      <c r="K16">
        <f t="array" ref="K16">_xlfn.LET(
            _xlpm.baseThick,IFERROR(INDEX(HELPER!$BX$2:$BX$75,MATCH(1,(HELPER!$BZ$2:$BZ$75=$C$15)*(HELPER!$CC$2:$CC$75=$AL$4)*(HELPER!$BW$2:$BW$75=D16),0)),""),
            _xlpm.materials,D$15:D$19,
            _xlpm.filmCount,SUMPRODUCT((LEFT(_xlpm.materials,2)="NK")+(ISNUMBER(SEARCH("paper",_xlpm.materials)))+(LEFT(_xlpm.materials,4)="TIPA")+(LEFT(_xlpm.materials,4)="PBAT")),
            _xlpm.isAdhesive,OR(ISNUMBER(SEARCH("RM G Epotal",D16)),ISNUMBER(SEARCH("RM G Basonat",D16))),
            IF(_xlpm.baseThick="","",IF(AND(_xlpm.filmCount&gt;=3,_xlpm.isAdhesive),_xlpm.baseThick*2,_xlpm.baseThick))
        )</f>
        <v/>
      </c>
      <c r="L16">
        <f>IFERROR(VLOOKUP(D16,HELPER!$AP$1:$AQ$20,2,FALSE),"")</f>
        <v/>
      </c>
      <c r="M16">
        <f>IF(D16="","",Laminates!L16*1000*(Laminates!K16/1000000)*(Laminates!J16/1000))</f>
        <v/>
      </c>
      <c r="N16" s="352">
        <f>IF(D16="","",IF(D16="TIPA 312 MET",IFERROR(VLOOKUP("TIPA 312 MFG",BOM!$Q$2:$R$50,2,FALSE),0)+5,IF(D16="NK",7.95,IFERROR(VLOOKUP(D16,BOM!$Q$2:$R$50,2,FALSE),IFERROR(VLOOKUP(D16,HELPER!$C$2:$E$32,3,FALSE),IFERROR(VLOOKUP(D16,HELPER!$A$2:$E$32,5,FALSE),""))))))</f>
        <v/>
      </c>
      <c r="P16" s="455">
        <f>IF(OR(D16="",D16="Total Thickness"),"",IFERROR(IF(O$15="Europe to Canada",IF(B$15&lt;1000,VLOOKUP(1000,HELPER!$AG$4:$AH$8,2,FALSE)/B$15,VLOOKUP(B$15,HELPER!$AG$4:$AH$8,2,TRUE)/B$15),IF(O$15="Europe to US",HELPER!$AH$2,IF(O$15="Europe to Europe",HELPER!$AH$3,0))),0))</f>
        <v/>
      </c>
      <c r="Q16" s="594">
        <f>IFERROR(M16*(N16+P16)," ")</f>
        <v/>
      </c>
      <c r="R16" s="595">
        <f>IFERROR((N16+P16)*M16/SUM($M$3:$M$8)," ")</f>
        <v/>
      </c>
      <c r="AC16" s="364" t="inlineStr">
        <is>
          <t>💶 Cost/Kg (€)</t>
        </is>
      </c>
      <c r="AD16" s="365">
        <f>IFERROR(TEXT(ROUND(AD20+AD21+AD23,2),"€ #,##0.00"),"")</f>
        <v/>
      </c>
      <c r="AE16" s="366" t="inlineStr">
        <is>
          <t>€</t>
        </is>
      </c>
      <c r="AG16" s="377" t="inlineStr">
        <is>
          <t>💶 Cost/Kg (€)</t>
        </is>
      </c>
      <c r="AH16" s="378">
        <f>IFERROR(TEXT(ROUND(AH20+AH21+AH23,2),"€ #,##0.00"),"")</f>
        <v/>
      </c>
      <c r="AI16" s="379" t="inlineStr">
        <is>
          <t>€</t>
        </is>
      </c>
      <c r="AK16" s="390" t="inlineStr">
        <is>
          <t>💶 Cost/Kg (€)</t>
        </is>
      </c>
      <c r="AL16" s="391">
        <f>IFERROR(TEXT(ROUND(AL20+AL21+AL23,2),"€ #,##0.00"),"")</f>
        <v/>
      </c>
      <c r="AM16" s="392" t="inlineStr">
        <is>
          <t>€</t>
        </is>
      </c>
    </row>
    <row r="17" ht="16.5" customHeight="1" s="430" thickBot="1">
      <c r="D17" t="inlineStr">
        <is>
          <t>PBAT</t>
        </is>
      </c>
      <c r="J17">
        <f>IF(AND(E15&lt;&gt;"",ISNUMBER(MATCH(D17,HELPER!$AP$2:$AP$20,0))),E15+50,"")</f>
        <v/>
      </c>
      <c r="K17">
        <f t="array" ref="K17">_xlfn.LET(
            _xlpm.baseThick,IFERROR(INDEX(HELPER!$BX$2:$BX$75,MATCH(1,(HELPER!$BZ$2:$BZ$75=$C$15)*(HELPER!$CC$2:$CC$75=$AL$4)*(HELPER!$BW$2:$BW$75=D17),0)),""),
            _xlpm.materials,D$15:D$19,
            _xlpm.filmCount,SUMPRODUCT((LEFT(_xlpm.materials,2)="NK")+(ISNUMBER(SEARCH("paper",_xlpm.materials)))+(LEFT(_xlpm.materials,4)="TIPA")+(LEFT(_xlpm.materials,4)="PBAT")),
            _xlpm.isAdhesive,OR(ISNUMBER(SEARCH("RM G Epotal",D17)),ISNUMBER(SEARCH("RM G Basonat",D17))),
            IF(_xlpm.baseThick="","",IF(AND(_xlpm.filmCount&gt;=3,_xlpm.isAdhesive),_xlpm.baseThick*2,_xlpm.baseThick))
        )</f>
        <v/>
      </c>
      <c r="L17">
        <f>IFERROR(VLOOKUP(D17,HELPER!$AP$1:$AQ$20,2,FALSE),"")</f>
        <v/>
      </c>
      <c r="M17">
        <f>IF(OR(L17="",L17=0),"",L17*1000*(K17/1000000)*(J17/1000))</f>
        <v/>
      </c>
      <c r="N17">
        <f>IF(D17="","",IF(D17="TIPA 312 MET",IFERROR(VLOOKUP("TIPA 312 MFG",BOM!$Q$2:$R$50,2,FALSE),0)+5,IF(D17="NK",7.95,IFERROR(VLOOKUP(D17,BOM!$Q$2:$R$50,2,FALSE),IFERROR(VLOOKUP(D17,HELPER!$C$2:$E$32,3,FALSE),IFERROR(VLOOKUP(D17,HELPER!$A$2:$E$32,5,FALSE),""))))))</f>
        <v/>
      </c>
      <c r="P17" s="455">
        <f>IF(OR(D17="",D17="Total Thickness"),"",IFERROR(IF(O$15="Europe to Canada",IF(B$15&lt;1000,VLOOKUP(1000,HELPER!$AG$4:$AH$8,2,FALSE)/B$15,VLOOKUP(B$15,HELPER!$AG$4:$AH$8,2,TRUE)/B$15),IF(O$15="Europe to US",HELPER!$AH$2,IF(O$15="Europe to Europe",HELPER!$AH$3,0))),0))</f>
        <v/>
      </c>
      <c r="Q17" s="594">
        <f>IFERROR(M17*(N17+P17)," ")</f>
        <v/>
      </c>
      <c r="R17" s="595">
        <f>IFERROR((N17+P17)*M17/SUM($M$3:$M$8)," ")</f>
        <v/>
      </c>
      <c r="AC17" s="367" t="inlineStr">
        <is>
          <t>💵 Cost/Kg ($)</t>
        </is>
      </c>
      <c r="AD17" s="368">
        <f>IFERROR(TEXT(ROUND((AD20+AD21+AD23)*HELPER!$AK$2,2),"$ #,##0.00"),"")</f>
        <v/>
      </c>
      <c r="AE17" s="369" t="inlineStr">
        <is>
          <t>$</t>
        </is>
      </c>
      <c r="AG17" s="380" t="inlineStr">
        <is>
          <t>💵 Cost/Kg ($)</t>
        </is>
      </c>
      <c r="AH17" s="381">
        <f>IFERROR(TEXT(ROUND((AH20+AH21+AH23)*HELPER!$AK$2,2),"$ #,##0.00"),"")</f>
        <v/>
      </c>
      <c r="AI17" s="382" t="inlineStr">
        <is>
          <t>$</t>
        </is>
      </c>
      <c r="AK17" s="393" t="inlineStr">
        <is>
          <t>💵 Cost/Kg ($)</t>
        </is>
      </c>
      <c r="AL17" s="394">
        <f>IFERROR(TEXT(ROUND((AL20+AL21+AL23)*HELPER!$AK$2,2),"$ #,##0.00"),"")</f>
        <v/>
      </c>
      <c r="AM17" s="395" t="inlineStr">
        <is>
          <t>$</t>
        </is>
      </c>
    </row>
    <row r="18" hidden="1" s="430">
      <c r="J18">
        <f>IF(AND(E15&lt;&gt;"",ISNUMBER(MATCH(D18,HELPER!$AP$2:$AP$20,0))),E15+50,"")</f>
        <v/>
      </c>
      <c r="K18">
        <f t="array" ref="K18">_xlfn.LET(
            _xlpm.baseThick,IFERROR(INDEX(HELPER!$BX$2:$BX$75,MATCH(1,(HELPER!$BZ$2:$BZ$75=$C$15)*(HELPER!$CC$2:$CC$75=$AL$4)*(HELPER!$BW$2:$BW$75=D18),0)),""),
            _xlpm.materials,D$15:D$19,
            _xlpm.filmCount,SUMPRODUCT((LEFT(_xlpm.materials,2)="NK")+(ISNUMBER(SEARCH("paper",_xlpm.materials)))+(LEFT(_xlpm.materials,4)="TIPA")+(LEFT(_xlpm.materials,4)="PBAT")),
            _xlpm.isAdhesive,OR(ISNUMBER(SEARCH("RM G Epotal",D18)),ISNUMBER(SEARCH("RM G Basonat",D18))),
            IF(_xlpm.baseThick="","",IF(AND(_xlpm.filmCount&gt;=3,_xlpm.isAdhesive),_xlpm.baseThick*2,_xlpm.baseThick))
        )</f>
        <v/>
      </c>
      <c r="L18">
        <f>IFERROR(VLOOKUP(D18,HELPER!$AP$1:$AQ$20,2,FALSE),"")</f>
        <v/>
      </c>
      <c r="N18">
        <f>IF(D18="","",IF(D18="TIPA 312 MET",IFERROR(VLOOKUP("TIPA 312 MFG",BOM!$Q$2:$R$50,2,FALSE),0)+5,IF(D18="NK",7.95,IFERROR(VLOOKUP(D18,BOM!$Q$2:$R$50,2,FALSE),IFERROR(VLOOKUP(D18,HELPER!$C$2:$E$32,3,FALSE),IFERROR(VLOOKUP(D18,HELPER!$A$2:$E$32,5,FALSE),""))))))</f>
        <v/>
      </c>
      <c r="P18" s="455">
        <f>IF(OR(D18="",D18="Total Thickness"),"",IFERROR(IF(O$15="Europe to Canada",IF(B$15&lt;1000,VLOOKUP(1000,HELPER!$AG$4:$AH$8,2,FALSE)/B$15,VLOOKUP(B$15,HELPER!$AG$4:$AH$8,2,TRUE)/B$15),IF(O$15="Europe to US",HELPER!$AH$2,IF(O$15="Europe to Europe",HELPER!$AH$3,0))),0))</f>
        <v/>
      </c>
      <c r="Q18" s="594">
        <f>IFERROR(M18*(N18+P18)," ")</f>
        <v/>
      </c>
      <c r="R18" s="595">
        <f>IFERROR((N18+P18)*M18/SUM($M$3:$M$8)," ")</f>
        <v/>
      </c>
    </row>
    <row r="19" hidden="1" s="430">
      <c r="J19">
        <f>IF(AND(E15&lt;&gt;"",ISNUMBER(MATCH(D19,HELPER!$AP$2:$AP$20,0))),E15+50,"")</f>
        <v/>
      </c>
      <c r="K19">
        <f t="array" ref="K19">_xlfn.LET(
            _xlpm.baseThick,IFERROR(INDEX(HELPER!$BX$2:$BX$75,MATCH(1,(HELPER!$BZ$2:$BZ$75=$C$15)*(HELPER!$CC$2:$CC$75=$AL$4)*(HELPER!$BW$2:$BW$75=D19),0)),""),
            _xlpm.materials,D$15:D$19,
            _xlpm.filmCount,SUMPRODUCT((LEFT(_xlpm.materials,2)="NK")+(ISNUMBER(SEARCH("paper",_xlpm.materials)))+(LEFT(_xlpm.materials,4)="TIPA")+(LEFT(_xlpm.materials,4)="PBAT")),
            _xlpm.isAdhesive,OR(ISNUMBER(SEARCH("RM G Epotal",D19)),ISNUMBER(SEARCH("RM G Basonat",D19))),
            IF(_xlpm.baseThick="","",IF(AND(_xlpm.filmCount&gt;=3,_xlpm.isAdhesive),_xlpm.baseThick*2,_xlpm.baseThick))
        )</f>
        <v/>
      </c>
      <c r="L19">
        <f>IFERROR(VLOOKUP(D19,HELPER!$AP$1:$AQ$20,2,FALSE),"")</f>
        <v/>
      </c>
      <c r="N19">
        <f>IF(D19="","",IF(D19="TIPA 312 MET",IFERROR(VLOOKUP("TIPA 312 MFG",BOM!$Q$2:$R$50,2,FALSE),0)+5,IF(D19="NK",7.95,IFERROR(VLOOKUP(D19,BOM!$Q$2:$R$50,2,FALSE),IFERROR(VLOOKUP(D19,HELPER!$C$2:$E$32,3,FALSE),IFERROR(VLOOKUP(D19,HELPER!$A$2:$E$32,5,FALSE),""))))))</f>
        <v/>
      </c>
      <c r="P19" s="455">
        <f>IF(OR(D19="",D19="Total Thickness"),"",IFERROR(IF(O$15="Europe to Canada",IF(B$15&lt;1000,VLOOKUP(1000,HELPER!$AG$4:$AH$8,2,FALSE)/B$15,VLOOKUP(B$15,HELPER!$AG$4:$AH$8,2,TRUE)/B$15),IF(O$15="Europe to US",HELPER!$AH$2,IF(O$15="Europe to Europe",HELPER!$AH$3,0))),0))</f>
        <v/>
      </c>
      <c r="Q19" s="594">
        <f>IFERROR(M19*(N19+P19)," ")</f>
        <v/>
      </c>
      <c r="R19" s="595">
        <f>IFERROR((N19+P19)*M19/SUM($M$3:$M$8)," ")</f>
        <v/>
      </c>
      <c r="AD19">
        <f>G3</f>
        <v/>
      </c>
      <c r="AH19">
        <f>G9</f>
        <v/>
      </c>
      <c r="AL19">
        <f>G15</f>
        <v/>
      </c>
    </row>
    <row r="20" hidden="1" s="430">
      <c r="J20">
        <f>IF(AND(E15&lt;&gt;"",ISNUMBER(MATCH(D20,HELPER!$AP$2:$AP$20,0))),E15+50,"")</f>
        <v/>
      </c>
      <c r="K20" s="353">
        <f>AL4</f>
        <v/>
      </c>
      <c r="L20">
        <f>IFERROR(VLOOKUP(D20,HELPER!$AP$1:$AQ$20,2,FALSE),"")</f>
        <v/>
      </c>
      <c r="N20">
        <f>IF(D20="","",IF(D20="TIPA 312 MET",IFERROR(VLOOKUP("TIPA 312 MFG",BOM!$Q$2:$R$50,2,FALSE),0)+5,IF(D20="NK",7.95,IFERROR(VLOOKUP(D20,BOM!$Q$2:$R$50,2,FALSE),IFERROR(VLOOKUP(D20,HELPER!$C$2:$E$32,3,FALSE),IFERROR(VLOOKUP(D20,HELPER!$A$2:$E$32,5,FALSE),""))))))</f>
        <v/>
      </c>
      <c r="P20" s="455">
        <f>IF(OR(D20="",D20="Total Thickness"),"",IFERROR(IF(O$15="Europe to Canada",IF(B$15&lt;1000,VLOOKUP(1000,HELPER!$AG$4:$AH$8,2,FALSE)/B$15,VLOOKUP(B$15,HELPER!$AG$4:$AH$8,2,TRUE)/B$15),IF(O$15="Europe to US",HELPER!$AH$2,IF(O$15="Europe to Europe",HELPER!$AH$3,0))),0))</f>
        <v/>
      </c>
      <c r="Q20" s="594">
        <f>IFERROR(M20*(N20+P20)," ")</f>
        <v/>
      </c>
      <c r="R20" s="595">
        <f>IFERROR((N20+P20)*M20/SUM($M$3:$M$8)," ")</f>
        <v/>
      </c>
      <c r="AC20" t="inlineStr">
        <is>
          <t>(Raw Material €/kg)</t>
        </is>
      </c>
      <c r="AD20">
        <f>IFERROR(SUM($R$3:$R$6),4.5)</f>
        <v/>
      </c>
      <c r="AG20" t="inlineStr">
        <is>
          <t>(RM €/kg)</t>
        </is>
      </c>
      <c r="AH20">
        <f>IFERROR(SUM($R$9:$R$12),4.5)</f>
        <v/>
      </c>
      <c r="AK20" t="inlineStr">
        <is>
          <t>(RM €/kg)</t>
        </is>
      </c>
      <c r="AL20">
        <f>IFERROR(SUM($R$15:$R$18),4.5)</f>
        <v/>
      </c>
    </row>
    <row r="21" hidden="1" s="430">
      <c r="D21" s="54" t="n"/>
      <c r="K21" s="341">
        <f>SUM(K15:K20)</f>
        <v/>
      </c>
      <c r="AC21" t="inlineStr">
        <is>
          <t>(Shipment €/kg)</t>
        </is>
      </c>
      <c r="AD21">
        <f>IFERROR(IF(AD9="Europe to Canada",IF(AD6&lt;1000,(AD6/1000)*VLOOKUP(1000,HELPER!$AG$4:$AH$8,2,FALSE)/AD6,VLOOKUP(AD6,HELPER!$AG$4:$AH$8,2,TRUE)/AD6),VLOOKUP(AD9,HELPER!$AF$2:$AH$3,3,FALSE)),0.2)</f>
        <v/>
      </c>
      <c r="AG21" t="inlineStr">
        <is>
          <t>(Ship €/kg)</t>
        </is>
      </c>
      <c r="AH21">
        <f>IFERROR(IF(AH9="Europe to Canada",IF(AH6&lt;1000,(AH6/1000)*VLOOKUP(1000,HELPER!$AG$4:$AH$8,2,FALSE)/AH6,VLOOKUP(AH6,HELPER!$AG$4:$AH$8,2,TRUE)/AH6),VLOOKUP(AH9,HELPER!$AF$2:$AH$3,3,FALSE)),0.2)</f>
        <v/>
      </c>
      <c r="AK21" t="inlineStr">
        <is>
          <t>(Ship €/kg)</t>
        </is>
      </c>
      <c r="AL21">
        <f>IFERROR(IF(AL9="Europe to Canada",IF(AL6&lt;1000,(AL6/1000)*VLOOKUP(1000,HELPER!$AG$4:$AH$8,2,FALSE)/AL6,VLOOKUP(AL6,HELPER!$AG$4:$AH$8,2,TRUE)/AL6),VLOOKUP(AL9,HELPER!$AF$2:$AH$3,3,FALSE)),0.2)</f>
        <v/>
      </c>
    </row>
    <row r="22" hidden="1" s="430">
      <c r="AC22" t="inlineStr">
        <is>
          <t>(Lamination €/kg)</t>
        </is>
      </c>
      <c r="AD22">
        <f t="array" ref="AD22">IFERROR(IF(AD10="",0,IF(AD5&gt;1220,0,_xlfn.LET(_xlpm.len,AD19,_xlpm.colNum,IF(_xlpm.len&lt;3000,1,IF(_xlpm.len&lt;10000,2,IF(_xlpm.len&lt;25000,3,IF(_xlpm.len&lt;50000,4,IF(_xlpm.len&lt;100000,5,IF(_xlpm.len&lt;250000,6,IF(_xlpm.len&lt;500000,7,8))))))),_xlpm.widthRow,IF(AD5&lt;=990,0,5),_xlpm.supplierRow,IF(AD10="Marma",3,IF(AD10="Bastin",13,0)),IF(_xlpm.supplierRow=0,0,INDEX('Lmntn &amp; Prntng- Marma &amp; Bastin '!$D:$K,_xlpm.supplierRow+_xlpm.widthRow,_xlpm.colNum))))),0)</f>
        <v/>
      </c>
      <c r="AG22" t="inlineStr">
        <is>
          <t>(Lam €/kg)</t>
        </is>
      </c>
      <c r="AH22">
        <f t="array" ref="AH22">IFERROR(IF(AH10="",0,IF(AH5&gt;1220,0,_xlfn.LET(_xlpm.len,AH19,_xlpm.colNum,IF(_xlpm.len&lt;3000,1,IF(_xlpm.len&lt;10000,2,IF(_xlpm.len&lt;25000,3,IF(_xlpm.len&lt;50000,4,IF(_xlpm.len&lt;100000,5,IF(_xlpm.len&lt;250000,6,IF(_xlpm.len&lt;500000,7,8))))))),_xlpm.widthRow,IF(AH5&lt;=990,0,5),_xlpm.supplierRow,IF(AH10="Marma",3,IF(AH10="Bastin",13,0)),IF(_xlpm.supplierRow=0,0,INDEX('Lmntn &amp; Prntng- Marma &amp; Bastin '!$D:$K,_xlpm.supplierRow+_xlpm.widthRow,_xlpm.colNum))))),0)</f>
        <v/>
      </c>
      <c r="AK22" t="inlineStr">
        <is>
          <t>(Lam €/kg)</t>
        </is>
      </c>
      <c r="AL22">
        <f t="array" ref="AL22">IFERROR(IF(AL10="",0,IF(AL5&gt;1220,0,_xlfn.LET(_xlpm.len,AL19,_xlpm.colNum,IF(_xlpm.len&lt;3000,1,IF(_xlpm.len&lt;10000,2,IF(_xlpm.len&lt;25000,3,IF(_xlpm.len&lt;50000,4,IF(_xlpm.len&lt;100000,5,IF(_xlpm.len&lt;250000,6,IF(_xlpm.len&lt;500000,7,8))))))),_xlpm.widthRow,IF(AL5&lt;=990,0,5),_xlpm.supplierRow,IF(AL10="Marma",3,IF(AL10="Bastin",13,0)),IF(_xlpm.supplierRow=0,0,INDEX('Lmntn &amp; Prntng- Marma &amp; Bastin '!$D:$K,_xlpm.supplierRow+_xlpm.widthRow,_xlpm.colNum))))),0)</f>
        <v/>
      </c>
    </row>
    <row r="23" hidden="1" s="430">
      <c r="AC23" t="inlineStr">
        <is>
          <t>(Services + Print €/kg)</t>
        </is>
      </c>
      <c r="AD23">
        <f t="array" ref="AD23">AD22+0.024+IF(AD7="Not Printed",0,IF(AD5&gt;1220,0,IFERROR(_xlfn.LET(
        _xlpm.len,AD19,
        _xlpm.colors,AD8,
        _xlpm.colNum,IF(_xlpm.len&lt;3000,1,IF(_xlpm.len&lt;10000,2,IF(_xlpm.len&lt;25000,3,IF(_xlpm.len&lt;50000,4,IF(_xlpm.len&lt;100000,5,IF(_xlpm.len&lt;250000,6,IF(_xlpm.len&lt;500000,7,8))))))),
        _xlpm.widthRow,IF(AD5&lt;=990,0,5),
        _xlpm.colorOffset,IF(OR(_xlpm.colors=1,_xlpm.colors=2,_xlpm.colors="1-2"),1,IF(OR(_xlpm.colors=3,_xlpm.colors=4,_xlpm.colors="3-4"),2,IF(OR(_xlpm.colors&gt;=5,_xlpm.colors="5-6",_xlpm.colors="5-8"),3,0))),
        _xlpm.supplierRow,IF(AD10="Marma",3,IF(AD10="Bastin",13,0)),
        IF(OR(_xlpm.supplierRow=0,_xlpm.colorOffset=0),0,INDEX('Lmntn &amp; Prntng- Marma &amp; Bastin '!$D:$K,_xlpm.supplierRow+_xlpm.widthRow+_xlpm.colorOffset,_xlpm.colNum))),0)))</f>
        <v/>
      </c>
      <c r="AG23" t="inlineStr">
        <is>
          <t>(Services + Print)</t>
        </is>
      </c>
      <c r="AH23">
        <f t="array" ref="AH23">AH22+0.024+IF(AH7="Not Printed",0,IF(AH5&gt;1220,0,IFERROR(_xlfn.LET(
        _xlpm.len,AH19,
        _xlpm.colors,AH8,
        _xlpm.colNum,IF(_xlpm.len&lt;3000,1,IF(_xlpm.len&lt;10000,2,IF(_xlpm.len&lt;25000,3,IF(_xlpm.len&lt;50000,4,IF(_xlpm.len&lt;100000,5,IF(_xlpm.len&lt;250000,6,IF(_xlpm.len&lt;500000,7,8))))))),
        _xlpm.widthRow,IF(AH5&lt;=990,0,5),
        _xlpm.colorOffset,IF(OR(_xlpm.colors=1,_xlpm.colors=2,_xlpm.colors="1-2"),1,IF(OR(_xlpm.colors=3,_xlpm.colors=4,_xlpm.colors="3-4"),2,IF(OR(_xlpm.colors&gt;=5,_xlpm.colors="5-6",_xlpm.colors="5-8"),3,0))),
        _xlpm.supplierRow,IF(AH10="Marma",3,IF(AH10="Bastin",13,0)),
        IF(OR(_xlpm.supplierRow=0,_xlpm.colorOffset=0),0,INDEX('Lmntn &amp; Prntng- Marma &amp; Bastin '!$D:$K,_xlpm.supplierRow+_xlpm.widthRow+_xlpm.colorOffset,_xlpm.colNum))),0)))</f>
        <v/>
      </c>
      <c r="AK23" t="inlineStr">
        <is>
          <t>(Services + Print)</t>
        </is>
      </c>
      <c r="AL23">
        <f t="array" ref="AL23">AL22+0.024+IF(AL7="Not Printed",0,IF(AL5&gt;1220,0,IFERROR(_xlfn.LET(
        _xlpm.len,AL19,
        _xlpm.colors,AL8,
        _xlpm.colNum,IF(_xlpm.len&lt;3000,1,IF(_xlpm.len&lt;10000,2,IF(_xlpm.len&lt;25000,3,IF(_xlpm.len&lt;50000,4,IF(_xlpm.len&lt;100000,5,IF(_xlpm.len&lt;250000,6,IF(_xlpm.len&lt;500000,7,8))))))),
        _xlpm.widthRow,IF(AL5&lt;=990,0,5),
        _xlpm.colorOffset,IF(OR(_xlpm.colors=1,_xlpm.colors=2,_xlpm.colors="1-2"),1,IF(OR(_xlpm.colors=3,_xlpm.colors=4,_xlpm.colors="3-4"),2,IF(OR(_xlpm.colors&gt;=5,_xlpm.colors="5-6",_xlpm.colors="5-8"),3,0))),
        _xlpm.supplierRow,IF(AL10="Marma",3,IF(AL10="Bastin",13,0)),
        IF(OR(_xlpm.supplierRow=0,_xlpm.colorOffset=0),0,INDEX('Lmntn &amp; Prntng- Marma &amp; Bastin '!$D:$K,_xlpm.supplierRow+_xlpm.widthRow+_xlpm.colorOffset,_xlpm.colNum))),0)))</f>
        <v/>
      </c>
    </row>
    <row r="24" ht="15.75" customHeight="1" s="430">
      <c r="AC24" s="604" t="inlineStr">
        <is>
          <t>💵 SELL PRICE</t>
        </is>
      </c>
      <c r="AD24" s="605" t="n"/>
      <c r="AE24" s="606" t="n"/>
      <c r="AG24" s="604" t="inlineStr">
        <is>
          <t>💵 SELL PRICE</t>
        </is>
      </c>
      <c r="AH24" s="605" t="n"/>
      <c r="AI24" s="606" t="n"/>
      <c r="AK24" s="604" t="inlineStr">
        <is>
          <t>💵 SELL PRICE</t>
        </is>
      </c>
      <c r="AL24" s="605" t="n"/>
      <c r="AM24" s="606" t="n"/>
    </row>
    <row r="25" ht="21" customHeight="1" s="430">
      <c r="AC25" s="607">
        <f>TEXT(ROUND(AD20+AD21+AD23,2)*(1+AD1),"€ #,##0.00")</f>
        <v/>
      </c>
      <c r="AE25" s="399" t="n"/>
      <c r="AG25" s="607">
        <f>TEXT(ROUND(AH20+AH21+AH23,2)*(1+AH1),"€ #,##0.00")</f>
        <v/>
      </c>
      <c r="AI25" s="399" t="n"/>
      <c r="AK25" s="607">
        <f>TEXT(ROUND(AL20+AL21+AL23,2)*(1+AL1),"€ #,##0.00")</f>
        <v/>
      </c>
      <c r="AM25" s="399" t="n"/>
    </row>
    <row r="26">
      <c r="AC26" s="349" t="n"/>
      <c r="AE26" s="399" t="n"/>
      <c r="AG26" s="349" t="n"/>
      <c r="AI26" s="399" t="n"/>
      <c r="AK26" s="349" t="n"/>
      <c r="AM26" s="399" t="n"/>
    </row>
    <row r="27">
      <c r="AC27" s="398" t="inlineStr">
        <is>
          <t>💵 SELL PRICE (USD)</t>
        </is>
      </c>
      <c r="AD27" s="608">
        <f>IFERROR(TEXT(ROUND((AD20+AD21+AD23)*(1+AD1)*HELPER!$AK$2,2),"$ #,##0.00"),"")</f>
        <v/>
      </c>
      <c r="AE27" s="400" t="inlineStr">
        <is>
          <t>$</t>
        </is>
      </c>
      <c r="AG27" s="398" t="inlineStr">
        <is>
          <t>💵 SELL PRICE (USD)</t>
        </is>
      </c>
      <c r="AH27" s="608">
        <f>IFERROR(TEXT(ROUND((AH20+AH21+AH23)*(1+AH1)*HELPER!$AK$2,2),"$ #,##0.00"),"")</f>
        <v/>
      </c>
      <c r="AI27" s="400" t="inlineStr">
        <is>
          <t>$</t>
        </is>
      </c>
      <c r="AK27" s="398" t="inlineStr">
        <is>
          <t>💵 SELL PRICE (USD)</t>
        </is>
      </c>
      <c r="AL27" s="608">
        <f>IFERROR(TEXT(ROUND((AL20+AL21+AL23)*(1+AL1)*HELPER!$AK$2,2),"$ #,##0.00"),"")</f>
        <v/>
      </c>
      <c r="AM27" s="400" t="inlineStr">
        <is>
          <t>$</t>
        </is>
      </c>
    </row>
    <row r="28"/>
    <row r="29"/>
    <row r="30"/>
    <row r="31"/>
    <row r="32"/>
  </sheetData>
  <mergeCells count="60">
    <mergeCell ref="AG2:AI2"/>
    <mergeCell ref="AK24:AM24"/>
    <mergeCell ref="I9:I14"/>
    <mergeCell ref="A9:A14"/>
    <mergeCell ref="AC24:AE24"/>
    <mergeCell ref="C3:C8"/>
    <mergeCell ref="O3:O8"/>
    <mergeCell ref="O9:O14"/>
    <mergeCell ref="E3:E8"/>
    <mergeCell ref="A15:A20"/>
    <mergeCell ref="U9:U14"/>
    <mergeCell ref="V3:V8"/>
    <mergeCell ref="C15:C20"/>
    <mergeCell ref="Y3:Y8"/>
    <mergeCell ref="T15:T20"/>
    <mergeCell ref="I15:I20"/>
    <mergeCell ref="S3:S8"/>
    <mergeCell ref="O15:O20"/>
    <mergeCell ref="U15:U20"/>
    <mergeCell ref="W15:W20"/>
    <mergeCell ref="F15:F20"/>
    <mergeCell ref="Y15:Y20"/>
    <mergeCell ref="Y9:Y14"/>
    <mergeCell ref="H9:H14"/>
    <mergeCell ref="AC25:AE25"/>
    <mergeCell ref="B3:B8"/>
    <mergeCell ref="F3:F8"/>
    <mergeCell ref="X3:X8"/>
    <mergeCell ref="AG12:AI12"/>
    <mergeCell ref="V15:V20"/>
    <mergeCell ref="C9:C14"/>
    <mergeCell ref="T9:T14"/>
    <mergeCell ref="X15:X20"/>
    <mergeCell ref="E9:E14"/>
    <mergeCell ref="AG24:AI24"/>
    <mergeCell ref="V9:V14"/>
    <mergeCell ref="AK2:AM2"/>
    <mergeCell ref="AC2:AE2"/>
    <mergeCell ref="A3:A8"/>
    <mergeCell ref="G3:G8"/>
    <mergeCell ref="I3:I8"/>
    <mergeCell ref="S9:S14"/>
    <mergeCell ref="E15:E20"/>
    <mergeCell ref="U3:U8"/>
    <mergeCell ref="W3:W8"/>
    <mergeCell ref="G15:G20"/>
    <mergeCell ref="B15:B20"/>
    <mergeCell ref="S15:S20"/>
    <mergeCell ref="W9:W14"/>
    <mergeCell ref="B9:B14"/>
    <mergeCell ref="AG25:AI25"/>
    <mergeCell ref="F9:F14"/>
    <mergeCell ref="H3:H8"/>
    <mergeCell ref="X9:X14"/>
    <mergeCell ref="T3:T8"/>
    <mergeCell ref="H15:H20"/>
    <mergeCell ref="AC12:AE12"/>
    <mergeCell ref="AK12:AM12"/>
    <mergeCell ref="AK25:AM25"/>
    <mergeCell ref="G9:G14"/>
  </mergeCells>
  <conditionalFormatting sqref="D3:D21">
    <cfRule type="expression" priority="5" dxfId="1">
      <formula>AND(INDIRECT("C"&amp;(3+FLOOR((ROW()-3)/6,1)*6))&lt;&gt;"",D3="")</formula>
    </cfRule>
  </conditionalFormatting>
  <conditionalFormatting sqref="T1:V1048576 W1:Y2">
    <cfRule type="containsText" priority="1" operator="containsText" dxfId="0" text="Error! please choose width not higher than 1220">
      <formula>NOT(ISERROR(SEARCH("Error! please choose width not higher than 1220",T1)))</formula>
    </cfRule>
  </conditionalFormatting>
  <dataValidations count="5">
    <dataValidation sqref="A3 A9 A15 A21 A27" showDropDown="0" showInputMessage="1" showErrorMessage="1" allowBlank="1" type="list">
      <formula1>"Kg,UN,Impresssions"</formula1>
    </dataValidation>
    <dataValidation sqref="AD7 AH7 AL7" showDropDown="0" showInputMessage="1" showErrorMessage="1" allowBlank="1" type="list">
      <formula1>"Printed,Not Printed"</formula1>
    </dataValidation>
    <dataValidation sqref="AD9 AH9 AL9" showDropDown="0" showInputMessage="1" showErrorMessage="1" allowBlank="1" type="list">
      <formula1>"Europe to US,Europe to Europe,Europe to Canada"</formula1>
    </dataValidation>
    <dataValidation sqref="AD10 AH10 AL10" showDropDown="0" showInputMessage="1" showErrorMessage="1" allowBlank="1" type="list">
      <formula1>"Marma,Bastin"</formula1>
    </dataValidation>
    <dataValidation sqref="AD8 AH8 AL8" showDropDown="0" showInputMessage="1" showErrorMessage="1" allowBlank="1" type="list">
      <formula1>"0,1-2,3-4,5-8"</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F79"/>
  <sheetViews>
    <sheetView topLeftCell="N1" workbookViewId="0">
      <selection activeCell="AM2" sqref="AM2"/>
    </sheetView>
  </sheetViews>
  <sheetFormatPr baseColWidth="8" defaultRowHeight="15"/>
  <cols>
    <col width="22.7109375" bestFit="1" customWidth="1" style="430" min="1" max="1"/>
    <col width="21.42578125" bestFit="1" customWidth="1" style="430" min="2" max="2"/>
    <col width="20" bestFit="1" customWidth="1" style="2" min="3" max="3"/>
    <col width="14.85546875" customWidth="1" style="430" min="4" max="4"/>
    <col width="18.42578125" bestFit="1" customWidth="1" style="430" min="5" max="5"/>
    <col width="18.85546875" bestFit="1" customWidth="1" style="121" min="6" max="6"/>
    <col width="39.42578125" customWidth="1" style="430" min="7" max="7"/>
    <col width="1.7109375" customWidth="1" style="430" min="8" max="8"/>
    <col width="12.5703125" bestFit="1" customWidth="1" style="430" min="9" max="9"/>
    <col width="1.140625" customWidth="1" style="430" min="10" max="10"/>
    <col width="12.5703125" bestFit="1" customWidth="1" style="430" min="11" max="11"/>
    <col width="0.85546875" customWidth="1" style="430" min="12" max="12"/>
    <col width="11" bestFit="1" customWidth="1" style="430" min="13" max="13"/>
    <col width="1.5703125" customWidth="1" style="430" min="14" max="14"/>
    <col width="12.42578125" bestFit="1" customWidth="1" style="430" min="15" max="15"/>
    <col width="22.28515625" bestFit="1" customWidth="1" style="430" min="16" max="16"/>
    <col width="13.85546875" bestFit="1" customWidth="1" style="430" min="17" max="17"/>
    <col width="2" customWidth="1" style="430" min="18" max="18"/>
    <col width="1.7109375" customWidth="1" style="430" min="19" max="19"/>
    <col width="11" bestFit="1" customWidth="1" style="430" min="20" max="20"/>
    <col width="1.7109375" customWidth="1" style="430" min="21" max="21"/>
    <col width="10.42578125" customWidth="1" style="430" min="22" max="22"/>
    <col width="1.42578125" customWidth="1" style="430" min="23" max="23"/>
    <col width="15.5703125" customWidth="1" style="430" min="24" max="24"/>
    <col width="1.140625" customWidth="1" style="430" min="25" max="25"/>
    <col width="19.42578125" bestFit="1" customWidth="1" style="430" min="26" max="26"/>
    <col width="1.7109375" customWidth="1" style="430" min="27" max="27"/>
    <col width="10.42578125" bestFit="1" customWidth="1" style="430" min="28" max="28"/>
    <col width="3" customWidth="1" style="430" min="29" max="29"/>
    <col width="12.140625" bestFit="1" customWidth="1" style="430" min="30" max="30"/>
    <col width="3.140625" customWidth="1" style="430" min="31" max="31"/>
    <col width="24.5703125" customWidth="1" style="430" min="32" max="33"/>
    <col width="17.7109375" bestFit="1" customWidth="1" style="430" min="34" max="34"/>
    <col width="2.28515625" customWidth="1" style="430" min="35" max="35"/>
    <col width="12.85546875" bestFit="1" customWidth="1" style="430" min="36" max="36"/>
    <col width="3.42578125" customWidth="1" style="430" min="38" max="38"/>
    <col width="8.7109375" customWidth="1" style="430" min="39" max="39"/>
    <col width="9.42578125" customWidth="1" style="430" min="40" max="40"/>
    <col width="2.140625" customWidth="1" style="430" min="41" max="41"/>
    <col width="23.85546875" bestFit="1" customWidth="1" style="430" min="42" max="42"/>
    <col width="16.28515625" customWidth="1" style="430" min="43" max="43"/>
    <col width="5.85546875" customWidth="1" style="430" min="44" max="44"/>
    <col width="20.140625" bestFit="1" customWidth="1" style="430" min="45" max="45"/>
    <col width="13.85546875" customWidth="1" style="430" min="46" max="46"/>
    <col width="14" bestFit="1" customWidth="1" style="2" min="48" max="48"/>
    <col width="24.140625" customWidth="1" style="430" min="49" max="49"/>
    <col width="20.7109375" bestFit="1" customWidth="1" style="430" min="50" max="50"/>
    <col width="39.5703125" bestFit="1" customWidth="1" style="121" min="51" max="51"/>
    <col width="21.85546875" customWidth="1" style="430" min="53" max="53"/>
    <col width="18.140625" bestFit="1" customWidth="1" style="430" min="56" max="56"/>
    <col width="38.28515625" bestFit="1" customWidth="1" style="430" min="58" max="58"/>
    <col width="15.5703125" bestFit="1" customWidth="1" style="430" min="60" max="60"/>
    <col width="11.140625" bestFit="1" customWidth="1" style="430" min="63" max="63"/>
    <col width="21" bestFit="1" customWidth="1" style="430" min="64" max="64"/>
    <col width="5.140625" bestFit="1" customWidth="1" style="430" min="65" max="65"/>
    <col width="21.5703125" bestFit="1" customWidth="1" style="430" min="66" max="66"/>
    <col width="26.28515625" bestFit="1" customWidth="1" style="430" min="67" max="67"/>
    <col width="23.85546875" bestFit="1" customWidth="1" style="430" min="69" max="69"/>
    <col width="12.5703125" bestFit="1" customWidth="1" style="430" min="70" max="70"/>
    <col width="9.140625" customWidth="1" style="2" min="73" max="73"/>
    <col width="23.7109375" customWidth="1" style="430" min="74" max="74"/>
    <col width="23.85546875" bestFit="1" customWidth="1" style="430" min="75" max="76"/>
    <col width="21.42578125" bestFit="1" customWidth="1" style="430" min="80" max="80"/>
  </cols>
  <sheetData>
    <row r="1" ht="45" customHeight="1" s="430">
      <c r="A1" s="52" t="inlineStr">
        <is>
          <t>Material</t>
        </is>
      </c>
      <c r="B1" s="52" t="inlineStr">
        <is>
          <t>Grade</t>
        </is>
      </c>
      <c r="C1" s="53" t="inlineStr">
        <is>
          <t>Serial Number</t>
        </is>
      </c>
      <c r="D1" s="52" t="inlineStr">
        <is>
          <t>Resin</t>
        </is>
      </c>
      <c r="E1" s="52" t="inlineStr">
        <is>
          <t>Price (€/kg)</t>
        </is>
      </c>
      <c r="G1" s="33" t="inlineStr">
        <is>
          <t>Percentage of the price related to thickness</t>
        </is>
      </c>
      <c r="I1" s="33" t="inlineStr">
        <is>
          <t>Thickness (µ)</t>
        </is>
      </c>
      <c r="K1" s="33" t="inlineStr">
        <is>
          <t>Density</t>
        </is>
      </c>
      <c r="M1" s="33" t="inlineStr">
        <is>
          <t>Other costs</t>
        </is>
      </c>
      <c r="O1" s="33" t="inlineStr">
        <is>
          <t>Hourly rate</t>
        </is>
      </c>
      <c r="P1" t="inlineStr">
        <is>
          <t>Production Speed (m/h)</t>
        </is>
      </c>
      <c r="Q1" s="33" t="inlineStr">
        <is>
          <t>Bag Type</t>
        </is>
      </c>
      <c r="T1" s="33" t="inlineStr">
        <is>
          <t>Cast/ Blown</t>
        </is>
      </c>
      <c r="V1" s="33" t="inlineStr">
        <is>
          <t>PR/ Non PR</t>
        </is>
      </c>
      <c r="X1" s="33" t="inlineStr">
        <is>
          <t>Number of colors</t>
        </is>
      </c>
      <c r="Z1" s="33" t="inlineStr">
        <is>
          <t>Set up (part of waste)</t>
        </is>
      </c>
      <c r="AB1" s="33" t="inlineStr">
        <is>
          <t>Print waste</t>
        </is>
      </c>
      <c r="AD1" s="33" t="inlineStr">
        <is>
          <t>Zipper</t>
        </is>
      </c>
      <c r="AF1" s="33" t="inlineStr">
        <is>
          <t>Shipping route</t>
        </is>
      </c>
      <c r="AG1" s="33" t="inlineStr">
        <is>
          <t>Order Quantity (KG)</t>
        </is>
      </c>
      <c r="AH1" s="33" t="inlineStr">
        <is>
          <t>Shipping Expenses</t>
        </is>
      </c>
      <c r="AJ1" s="486" t="inlineStr">
        <is>
          <t>Exchange rate</t>
        </is>
      </c>
      <c r="AM1" s="486" t="inlineStr">
        <is>
          <t>Depreciation</t>
        </is>
      </c>
      <c r="AP1" s="33" t="inlineStr">
        <is>
          <t>Film Type</t>
        </is>
      </c>
      <c r="AQ1" s="33" t="inlineStr">
        <is>
          <t>Density</t>
        </is>
      </c>
      <c r="AS1" s="609" t="inlineStr">
        <is>
          <t>Volume Discount Tiers</t>
        </is>
      </c>
      <c r="AT1" s="606" t="n"/>
      <c r="AV1" s="33" t="inlineStr">
        <is>
          <t>Laminates</t>
        </is>
      </c>
      <c r="AW1" s="33" t="inlineStr">
        <is>
          <t>Laminate structure</t>
        </is>
      </c>
      <c r="AX1" s="33" t="inlineStr">
        <is>
          <t>Additional Information</t>
        </is>
      </c>
      <c r="AY1" s="121" t="inlineStr">
        <is>
          <t>Remarks</t>
        </is>
      </c>
      <c r="BA1" s="487" t="inlineStr">
        <is>
          <t>Width Used</t>
        </is>
      </c>
      <c r="BD1" s="487" t="inlineStr">
        <is>
          <t>Measurement units</t>
        </is>
      </c>
      <c r="BF1" s="487" t="inlineStr">
        <is>
          <t>Laminating, Convering &amp; Printing Supplier</t>
        </is>
      </c>
      <c r="BH1" s="487" t="inlineStr">
        <is>
          <t>Thickness waste</t>
        </is>
      </c>
      <c r="BK1" s="33" t="inlineStr">
        <is>
          <t>Input Mode</t>
        </is>
      </c>
      <c r="BL1" s="54" t="n"/>
      <c r="BN1" s="33" t="inlineStr">
        <is>
          <t>Width Threshold (mm)</t>
        </is>
      </c>
      <c r="BO1" s="33" t="inlineStr">
        <is>
          <t>Alert Message</t>
        </is>
      </c>
      <c r="BQ1" s="33" t="inlineStr">
        <is>
          <t>Laminate Structure</t>
        </is>
      </c>
      <c r="BR1" s="33" t="inlineStr">
        <is>
          <t>Thickness (µ)</t>
        </is>
      </c>
      <c r="BU1" s="350" t="inlineStr">
        <is>
          <t>Laminate</t>
        </is>
      </c>
      <c r="BV1" s="345" t="inlineStr">
        <is>
          <t>Total Thikness ( in the RFQ- will be in the calculator)</t>
        </is>
      </c>
      <c r="BW1" s="33" t="n"/>
      <c r="BX1" s="33" t="inlineStr">
        <is>
          <t>Thickness</t>
        </is>
      </c>
      <c r="BY1" s="346" t="inlineStr">
        <is>
          <t>chk box</t>
        </is>
      </c>
      <c r="BZ1" s="346" t="inlineStr">
        <is>
          <t>Laminate (Filled)</t>
        </is>
      </c>
      <c r="CB1" s="487" t="inlineStr">
        <is>
          <t>Laminate List (Unique)</t>
        </is>
      </c>
      <c r="CC1" s="487" t="inlineStr">
        <is>
          <t>Total Thickness (Filled)</t>
        </is>
      </c>
      <c r="CD1" s="487" t="inlineStr">
        <is>
          <t>Thickness Options</t>
        </is>
      </c>
      <c r="CE1" s="487" t="inlineStr">
        <is>
          <t>Thick Opts 2</t>
        </is>
      </c>
      <c r="CF1" s="487" t="inlineStr">
        <is>
          <t>Thick Opts 3</t>
        </is>
      </c>
    </row>
    <row r="2" ht="15.75" customHeight="1" s="430" thickBot="1">
      <c r="A2" s="34" t="inlineStr">
        <is>
          <t>PLA</t>
        </is>
      </c>
      <c r="B2" s="34" t="inlineStr">
        <is>
          <t>LX175</t>
        </is>
      </c>
      <c r="C2" s="34" t="inlineStr">
        <is>
          <t>RMLX175</t>
        </is>
      </c>
      <c r="D2" s="34" t="inlineStr">
        <is>
          <t>Resin 1A</t>
        </is>
      </c>
      <c r="E2" s="34" t="n">
        <v>3.17</v>
      </c>
      <c r="G2" s="5" t="n">
        <v>0.2</v>
      </c>
      <c r="I2" t="n">
        <v>20</v>
      </c>
      <c r="K2" t="n">
        <v>1.25</v>
      </c>
      <c r="M2" s="5" t="n">
        <v>0.3</v>
      </c>
      <c r="O2" s="575" t="n">
        <v>0.15</v>
      </c>
      <c r="P2" s="155" t="n">
        <v>50000</v>
      </c>
      <c r="Q2" t="inlineStr">
        <is>
          <t>Zipper bag</t>
        </is>
      </c>
      <c r="T2" t="inlineStr">
        <is>
          <t>Cast</t>
        </is>
      </c>
      <c r="V2" t="inlineStr">
        <is>
          <t>Printed</t>
        </is>
      </c>
      <c r="X2" s="355" t="inlineStr">
        <is>
          <t>0</t>
        </is>
      </c>
      <c r="Z2" t="n">
        <v>300</v>
      </c>
      <c r="AB2" t="n">
        <v>300</v>
      </c>
      <c r="AD2" s="610" t="n">
        <v>0.169</v>
      </c>
      <c r="AF2" t="inlineStr">
        <is>
          <t>Europe to US</t>
        </is>
      </c>
      <c r="AG2" t="inlineStr">
        <is>
          <t>no dependency</t>
        </is>
      </c>
      <c r="AH2" s="575" t="n">
        <v>4.35</v>
      </c>
      <c r="AJ2" t="inlineStr">
        <is>
          <t>USD</t>
        </is>
      </c>
      <c r="AK2" t="n">
        <v>1.16</v>
      </c>
      <c r="AM2" s="49" t="n">
        <v>0</v>
      </c>
      <c r="AN2" s="94" t="n">
        <v>0.25</v>
      </c>
      <c r="AP2" s="5">
        <f t="array" ref="AP2">IFERROR(INDEX(_xlfn._xlws.FILTER(BOM!$Q$2:$Q$20,LEFT(BOM!$Q$2:$Q$20,4)="TIPA"),1),"")</f>
        <v/>
      </c>
      <c r="AQ2" t="n">
        <v>1.25</v>
      </c>
      <c r="AS2" s="54" t="inlineStr">
        <is>
          <t>Order Quantity</t>
        </is>
      </c>
      <c r="AT2" s="54" t="inlineStr">
        <is>
          <t>Multiplier</t>
        </is>
      </c>
      <c r="AV2" s="2" t="n">
        <v>608</v>
      </c>
      <c r="AW2" s="343" t="inlineStr">
        <is>
          <t>NK</t>
        </is>
      </c>
      <c r="AX2" t="inlineStr">
        <is>
          <t>Futamura</t>
        </is>
      </c>
      <c r="AY2" s="121" t="inlineStr">
        <is>
          <t>Not Linked Yet</t>
        </is>
      </c>
      <c r="BA2" t="n">
        <v>950</v>
      </c>
      <c r="BB2" s="125" t="inlineStr">
        <is>
          <t>Ask Shay</t>
        </is>
      </c>
      <c r="BD2" t="inlineStr">
        <is>
          <t>Kg</t>
        </is>
      </c>
      <c r="BF2" t="inlineStr">
        <is>
          <t>Marma</t>
        </is>
      </c>
      <c r="BH2" s="119" t="inlineStr">
        <is>
          <t>Thickness (mic)</t>
        </is>
      </c>
      <c r="BI2" s="119" t="inlineStr">
        <is>
          <t>waste</t>
        </is>
      </c>
      <c r="BK2" t="inlineStr">
        <is>
          <t>By Weight</t>
        </is>
      </c>
      <c r="BN2" s="331" t="n">
        <v>920</v>
      </c>
      <c r="BO2" t="inlineStr">
        <is>
          <t>⚠️ Please add slitting costs</t>
        </is>
      </c>
      <c r="BQ2" t="inlineStr">
        <is>
          <t>NK</t>
        </is>
      </c>
      <c r="BR2" t="n">
        <v>23</v>
      </c>
      <c r="BU2" s="611" t="n">
        <v>608</v>
      </c>
      <c r="BV2" s="612" t="n">
        <v>100</v>
      </c>
      <c r="BW2" s="343" t="inlineStr">
        <is>
          <t>NK</t>
        </is>
      </c>
      <c r="BX2" s="58" t="n">
        <v>23</v>
      </c>
      <c r="BY2" s="482">
        <f>SUM(BX2:BX4)</f>
        <v/>
      </c>
      <c r="BZ2">
        <f>IF(BU2&lt;&gt;"",BU2,"")</f>
        <v/>
      </c>
      <c r="CB2">
        <f t="array" ref="CB2:CB14">_xlfn._xlws.SORT(_xlfn.UNIQUE(_xlfn._xlws.FILTER(AV2:AV50,AV2:AV50&lt;&gt;"")))</f>
        <v/>
      </c>
      <c r="CC2">
        <f>IF(BV2&lt;&gt;"",BV2,"")</f>
        <v/>
      </c>
      <c r="CD2">
        <f t="array" ref="CD2:CD6">_xlfn._xlws.SORT(_xlfn.UNIQUE(_xlfn._xlws.FILTER(BV2:BV75,(BZ2:BZ75=Laminates!AD3)*(BV2:BV75&lt;&gt;""))))</f>
        <v/>
      </c>
      <c r="CE2">
        <f t="array" ref="CE2">_xlfn._xlws.SORT(_xlfn.UNIQUE(_xlfn._xlws.FILTER(BV2:BV75,(BZ2:BZ75=Laminates!AH3)*(BV2:BV75&lt;&gt;""))))</f>
        <v/>
      </c>
      <c r="CF2">
        <f t="array" ref="CF2">_xlfn._xlws.SORT(_xlfn.UNIQUE(_xlfn._xlws.FILTER(BV2:BV75,(BZ2:BZ75=Laminates!AL3)*(BV2:BV75&lt;&gt;""))))</f>
        <v/>
      </c>
    </row>
    <row r="3" ht="15.75" customHeight="1" s="430" thickTop="1">
      <c r="A3" s="35" t="inlineStr">
        <is>
          <t>PLA</t>
        </is>
      </c>
      <c r="B3" s="35" t="inlineStr">
        <is>
          <t>N43</t>
        </is>
      </c>
      <c r="C3" s="35" t="inlineStr">
        <is>
          <t>RMN43</t>
        </is>
      </c>
      <c r="D3" s="35" t="inlineStr">
        <is>
          <t>Resin 1B</t>
        </is>
      </c>
      <c r="E3" s="35" t="n">
        <v>3.17</v>
      </c>
      <c r="F3" s="253" t="inlineStr">
        <is>
          <t>BASF price</t>
        </is>
      </c>
      <c r="G3" s="5" t="n">
        <v>0.6</v>
      </c>
      <c r="I3" t="n">
        <v>25</v>
      </c>
      <c r="O3" s="575" t="n">
        <v>1.15</v>
      </c>
      <c r="Q3" t="inlineStr">
        <is>
          <t>Open Bag</t>
        </is>
      </c>
      <c r="T3" t="inlineStr">
        <is>
          <t>Blown</t>
        </is>
      </c>
      <c r="V3" t="inlineStr">
        <is>
          <t>Not Printed</t>
        </is>
      </c>
      <c r="X3" s="354" t="inlineStr">
        <is>
          <t>1-2</t>
        </is>
      </c>
      <c r="AF3" t="inlineStr">
        <is>
          <t>Europe to Europe</t>
        </is>
      </c>
      <c r="AG3" t="inlineStr">
        <is>
          <t>no dependency</t>
        </is>
      </c>
      <c r="AH3" s="613" t="n">
        <v>0.2</v>
      </c>
      <c r="AJ3" t="inlineStr">
        <is>
          <t>EURO</t>
        </is>
      </c>
      <c r="AK3" t="n">
        <v>1</v>
      </c>
      <c r="AM3" s="49" t="n">
        <v>501</v>
      </c>
      <c r="AN3" s="614" t="n">
        <v>0.2</v>
      </c>
      <c r="AP3" s="5">
        <f t="array" ref="AP3">IFERROR(INDEX(_xlfn._xlws.FILTER(BOM!$Q$2:$Q$20,LEFT(BOM!$Q$2:$Q$20,4)="TIPA"),2),"")</f>
        <v/>
      </c>
      <c r="AQ3" t="n">
        <v>1.25</v>
      </c>
      <c r="AS3" s="127" t="n">
        <v>50000</v>
      </c>
      <c r="AT3" s="557" t="n">
        <v>1.7</v>
      </c>
      <c r="AV3" s="2" t="n">
        <v>608</v>
      </c>
      <c r="AW3" s="118" t="inlineStr">
        <is>
          <t>TIPA 302FG</t>
        </is>
      </c>
      <c r="BA3" t="n">
        <v>1200</v>
      </c>
      <c r="BB3" s="125" t="inlineStr">
        <is>
          <t>Ask Shay</t>
        </is>
      </c>
      <c r="BD3" t="inlineStr">
        <is>
          <t>UN</t>
        </is>
      </c>
      <c r="BF3" t="inlineStr">
        <is>
          <t>Bastin</t>
        </is>
      </c>
      <c r="BH3" t="n">
        <v>0</v>
      </c>
      <c r="BI3" s="217" t="n">
        <v>0.075</v>
      </c>
      <c r="BK3" t="inlineStr">
        <is>
          <t>By Length</t>
        </is>
      </c>
      <c r="BQ3" t="inlineStr">
        <is>
          <t>TIPA 302FG</t>
        </is>
      </c>
      <c r="BR3" t="n">
        <v>25</v>
      </c>
      <c r="BW3" s="118" t="inlineStr">
        <is>
          <t>TIPA 302FG</t>
        </is>
      </c>
      <c r="BX3" s="58" t="n">
        <v>60</v>
      </c>
      <c r="BZ3">
        <f>IF(BU3&lt;&gt;"",BU3,BZ2)</f>
        <v/>
      </c>
      <c r="CB3" t="n">
        <v>428</v>
      </c>
      <c r="CC3">
        <f>IF(BV3&lt;&gt;"",BV3,CC2)</f>
        <v/>
      </c>
      <c r="CD3" t="n">
        <v>60</v>
      </c>
    </row>
    <row r="4" ht="15.75" customHeight="1" s="430" thickBot="1">
      <c r="A4" s="34" t="inlineStr">
        <is>
          <t>PBAT</t>
        </is>
      </c>
      <c r="B4" s="34" t="inlineStr">
        <is>
          <t>B12</t>
        </is>
      </c>
      <c r="C4" s="34" t="inlineStr">
        <is>
          <t>RMB12</t>
        </is>
      </c>
      <c r="D4" s="34" t="inlineStr">
        <is>
          <t>Resin 2A</t>
        </is>
      </c>
      <c r="E4" s="34" t="n">
        <v>1.5</v>
      </c>
      <c r="F4" s="121" t="n">
        <v>2.8</v>
      </c>
      <c r="I4" t="n">
        <v>30</v>
      </c>
      <c r="O4" s="575" t="n">
        <v>510</v>
      </c>
      <c r="Q4" t="inlineStr">
        <is>
          <t>Resealable bag</t>
        </is>
      </c>
      <c r="X4" s="355" t="inlineStr">
        <is>
          <t>3-4</t>
        </is>
      </c>
      <c r="AF4" s="485" t="inlineStr">
        <is>
          <t>Europe to Canada</t>
        </is>
      </c>
      <c r="AG4" s="615" t="n">
        <v>1000</v>
      </c>
      <c r="AH4" s="613" t="n">
        <v>3448.27586206897</v>
      </c>
      <c r="AM4" s="49" t="n">
        <v>1001</v>
      </c>
      <c r="AN4" s="94" t="n">
        <v>0.18</v>
      </c>
      <c r="AP4" s="5">
        <f t="array" ref="AP4">IFERROR(INDEX(_xlfn._xlws.FILTER(BOM!$Q$2:$Q$20,LEFT(BOM!$Q$2:$Q$20,4)="TIPA"),3),"")</f>
        <v/>
      </c>
      <c r="AS4" s="127" t="n">
        <v>100000</v>
      </c>
      <c r="AT4" s="557" t="n">
        <v>1.5</v>
      </c>
      <c r="AV4" s="351" t="n">
        <v>608</v>
      </c>
      <c r="AW4" s="344" t="inlineStr">
        <is>
          <t>RM Mbi-EX52A0</t>
        </is>
      </c>
      <c r="AX4" s="119" t="n"/>
      <c r="AY4" s="120" t="inlineStr">
        <is>
          <t>Exlam</t>
        </is>
      </c>
      <c r="BD4" t="inlineStr">
        <is>
          <t>Impresssions</t>
        </is>
      </c>
      <c r="BH4" t="n">
        <v>26</v>
      </c>
      <c r="BI4" s="118" t="n">
        <v>0.05</v>
      </c>
      <c r="BL4" s="49" t="n"/>
      <c r="BM4" s="616" t="n"/>
      <c r="BQ4" t="inlineStr">
        <is>
          <t>TIPA 302FG W</t>
        </is>
      </c>
      <c r="BR4" t="n">
        <v>25</v>
      </c>
      <c r="BU4" s="119" t="n"/>
      <c r="BV4" s="119" t="n"/>
      <c r="BW4" s="344" t="inlineStr">
        <is>
          <t>PBAT</t>
        </is>
      </c>
      <c r="BX4" s="342" t="n">
        <v>17</v>
      </c>
      <c r="BY4" s="119" t="n"/>
      <c r="BZ4">
        <f>IF(BU4&lt;&gt;"",BU4,BZ3)</f>
        <v/>
      </c>
      <c r="CB4" t="n">
        <v>608</v>
      </c>
      <c r="CC4">
        <f>IF(BV4&lt;&gt;"",BV4,CC3)</f>
        <v/>
      </c>
      <c r="CD4" t="n">
        <v>65</v>
      </c>
    </row>
    <row r="5" ht="15.75" customHeight="1" s="430" thickTop="1">
      <c r="A5" s="35" t="inlineStr">
        <is>
          <t>PBAT</t>
        </is>
      </c>
      <c r="B5" s="35" t="inlineStr">
        <is>
          <t>Jin-Eco</t>
        </is>
      </c>
      <c r="C5" s="35" t="inlineStr">
        <is>
          <t>RM ECO</t>
        </is>
      </c>
      <c r="D5" s="35" t="inlineStr">
        <is>
          <t>Resin 2B</t>
        </is>
      </c>
      <c r="E5" s="35" t="n">
        <v>4.2</v>
      </c>
      <c r="F5" s="121" t="inlineStr">
        <is>
          <t>Not relevant</t>
        </is>
      </c>
      <c r="I5" t="n">
        <v>35</v>
      </c>
      <c r="O5" s="575" t="n"/>
      <c r="Q5" t="inlineStr">
        <is>
          <t>Wicketed bag</t>
        </is>
      </c>
      <c r="X5" s="354" t="inlineStr">
        <is>
          <t>5-8</t>
        </is>
      </c>
      <c r="AG5" s="615" t="n">
        <v>2000</v>
      </c>
      <c r="AH5" s="613" t="n">
        <v>5000</v>
      </c>
      <c r="AM5" s="49" t="n">
        <v>2001</v>
      </c>
      <c r="AN5" s="94" t="n">
        <v>0.15</v>
      </c>
      <c r="AP5" s="5">
        <f t="array" ref="AP5">IFERROR(INDEX(_xlfn._xlws.FILTER(BOM!$Q$2:$Q$20,LEFT(BOM!$Q$2:$Q$20,4)="TIPA"),4),"")</f>
        <v/>
      </c>
      <c r="AS5" s="127" t="n">
        <v>200000</v>
      </c>
      <c r="AT5" s="557" t="n">
        <v>1.45</v>
      </c>
      <c r="AV5" s="2" t="inlineStr">
        <is>
          <t>608 W</t>
        </is>
      </c>
      <c r="AW5" s="343" t="inlineStr">
        <is>
          <t>NK</t>
        </is>
      </c>
      <c r="AX5" t="inlineStr">
        <is>
          <t>Futamura</t>
        </is>
      </c>
      <c r="AY5" s="121" t="inlineStr">
        <is>
          <t>Not Linked Yet</t>
        </is>
      </c>
      <c r="BH5" t="n">
        <v>31</v>
      </c>
      <c r="BI5" t="n">
        <v>0</v>
      </c>
      <c r="BL5" s="49" t="n"/>
      <c r="BM5" s="616" t="n"/>
      <c r="BQ5" t="inlineStr">
        <is>
          <t>TIPA 312 MET</t>
        </is>
      </c>
      <c r="BR5" t="n">
        <v>25</v>
      </c>
      <c r="BU5" s="617" t="inlineStr">
        <is>
          <t>608 W</t>
        </is>
      </c>
      <c r="BV5" s="612" t="n">
        <v>100</v>
      </c>
      <c r="BW5" s="343" t="inlineStr">
        <is>
          <t>NK</t>
        </is>
      </c>
      <c r="BX5" s="58" t="n">
        <v>23</v>
      </c>
      <c r="BY5" s="482">
        <f>SUM(BX5:BX7)</f>
        <v/>
      </c>
      <c r="BZ5">
        <f>IF(BU5&lt;&gt;"",BU5,BZ4)</f>
        <v/>
      </c>
      <c r="CB5" t="n">
        <v>618</v>
      </c>
      <c r="CC5">
        <f>IF(BV5&lt;&gt;"",BV5,CC4)</f>
        <v/>
      </c>
      <c r="CD5" t="n">
        <v>70</v>
      </c>
    </row>
    <row r="6">
      <c r="A6" s="34" t="inlineStr">
        <is>
          <t>PBAT</t>
        </is>
      </c>
      <c r="B6" s="34" t="inlineStr">
        <is>
          <t>TH801T</t>
        </is>
      </c>
      <c r="C6" s="34" t="inlineStr">
        <is>
          <t>RMT801</t>
        </is>
      </c>
      <c r="D6" s="34" t="inlineStr">
        <is>
          <t>Resin 2C</t>
        </is>
      </c>
      <c r="E6" s="34" t="n">
        <v>1.81</v>
      </c>
      <c r="I6" t="n">
        <v>40</v>
      </c>
      <c r="O6" s="575" t="n"/>
      <c r="Q6" t="inlineStr">
        <is>
          <t>Garment Bag</t>
        </is>
      </c>
      <c r="X6" s="354" t="inlineStr"/>
      <c r="AG6" s="615" t="n">
        <v>3000</v>
      </c>
      <c r="AH6" s="613" t="n">
        <v>6637.93103448276</v>
      </c>
      <c r="AM6" s="49" t="n">
        <v>5001</v>
      </c>
      <c r="AN6" s="614" t="n">
        <v>0.125</v>
      </c>
      <c r="AP6" s="5">
        <f t="array" ref="AP6">IFERROR(INDEX(_xlfn._xlws.FILTER(BOM!$Q$2:$Q$20,LEFT(BOM!$Q$2:$Q$20,4)="TIPA"),5),"")</f>
        <v/>
      </c>
      <c r="AS6" s="127" t="n">
        <v>300000</v>
      </c>
      <c r="AT6" s="557" t="n">
        <v>1.25</v>
      </c>
      <c r="AV6" s="2" t="inlineStr">
        <is>
          <t>608 W</t>
        </is>
      </c>
      <c r="AW6" s="118" t="inlineStr">
        <is>
          <t>TIPA 302FG W</t>
        </is>
      </c>
      <c r="BQ6" t="inlineStr">
        <is>
          <t>TIPA 312 MFG</t>
        </is>
      </c>
      <c r="BR6" t="n">
        <v>25</v>
      </c>
      <c r="BW6" s="118" t="inlineStr">
        <is>
          <t>TIPA 302FG W</t>
        </is>
      </c>
      <c r="BX6" s="58" t="n">
        <v>60</v>
      </c>
      <c r="BZ6">
        <f>IF(BU6&lt;&gt;"",BU6,BZ5)</f>
        <v/>
      </c>
      <c r="CB6" t="n">
        <v>648</v>
      </c>
      <c r="CC6">
        <f>IF(BV6&lt;&gt;"",BV6,CC5)</f>
        <v/>
      </c>
      <c r="CD6" t="n">
        <v>106</v>
      </c>
    </row>
    <row r="7" ht="15.75" customHeight="1" s="430" thickBot="1">
      <c r="A7" s="35" t="inlineStr">
        <is>
          <t>PBS</t>
        </is>
      </c>
      <c r="B7" s="35" t="inlineStr">
        <is>
          <t>A200</t>
        </is>
      </c>
      <c r="C7" s="35" t="inlineStr">
        <is>
          <t>RMA200</t>
        </is>
      </c>
      <c r="D7" s="35" t="inlineStr">
        <is>
          <t>TBD</t>
        </is>
      </c>
      <c r="E7" s="35" t="n">
        <v>7.62</v>
      </c>
      <c r="I7" t="n">
        <v>45</v>
      </c>
      <c r="O7" s="575" t="n"/>
      <c r="X7" s="354" t="inlineStr"/>
      <c r="AG7" s="615" t="n">
        <v>4000</v>
      </c>
      <c r="AH7" s="613" t="n">
        <v>8017.241379310351</v>
      </c>
      <c r="AP7" s="5">
        <f t="array" ref="AP7">IFERROR(INDEX(_xlfn._xlws.FILTER(BOM!$Q$2:$Q$20,LEFT(BOM!$Q$2:$Q$20,4)="TIPA"),6),"")</f>
        <v/>
      </c>
      <c r="AS7" s="127" t="n">
        <v>999999999</v>
      </c>
      <c r="AT7" s="557" t="n">
        <v>1.15</v>
      </c>
      <c r="AV7" s="351" t="inlineStr">
        <is>
          <t>608 W</t>
        </is>
      </c>
      <c r="AW7" s="344" t="inlineStr">
        <is>
          <t>RM Mbi-EX52A0</t>
        </is>
      </c>
      <c r="AX7" s="119" t="n"/>
      <c r="AY7" s="120" t="inlineStr">
        <is>
          <t>Exlam</t>
        </is>
      </c>
      <c r="BQ7" t="inlineStr">
        <is>
          <t>TIPA 312MFGW</t>
        </is>
      </c>
      <c r="BR7" t="n">
        <v>25</v>
      </c>
      <c r="BU7" s="119" t="n"/>
      <c r="BV7" s="119" t="n"/>
      <c r="BW7" s="344" t="inlineStr">
        <is>
          <t>PBAT</t>
        </is>
      </c>
      <c r="BX7" s="342" t="n">
        <v>17</v>
      </c>
      <c r="BY7" s="119" t="n"/>
      <c r="BZ7">
        <f>IF(BU7&lt;&gt;"",BU7,BZ6)</f>
        <v/>
      </c>
      <c r="CB7" t="n">
        <v>819</v>
      </c>
      <c r="CC7">
        <f>IF(BV7&lt;&gt;"",BV7,CC6)</f>
        <v/>
      </c>
    </row>
    <row r="8" ht="15.75" customHeight="1" s="430" thickTop="1">
      <c r="A8" s="34" t="inlineStr">
        <is>
          <t>PCL</t>
        </is>
      </c>
      <c r="B8" s="34" t="inlineStr">
        <is>
          <t>P65D</t>
        </is>
      </c>
      <c r="C8" s="34" t="inlineStr">
        <is>
          <t>RMP65D</t>
        </is>
      </c>
      <c r="D8" s="34" t="inlineStr">
        <is>
          <t>Resin 4A</t>
        </is>
      </c>
      <c r="E8" s="34" t="n">
        <v>7.3</v>
      </c>
      <c r="I8" t="n">
        <v>50</v>
      </c>
      <c r="O8" s="575" t="n"/>
      <c r="AG8" s="615" t="n">
        <v>5000</v>
      </c>
      <c r="AH8" s="613" t="n">
        <v>9224.13793103448</v>
      </c>
      <c r="AP8" s="5" t="inlineStr">
        <is>
          <t>Billerud Kraft White Paper</t>
        </is>
      </c>
      <c r="AQ8" t="n">
        <v>1</v>
      </c>
      <c r="AV8" s="2" t="n">
        <v>618</v>
      </c>
      <c r="AW8" s="118" t="inlineStr">
        <is>
          <t>NK</t>
        </is>
      </c>
      <c r="AX8" t="inlineStr">
        <is>
          <t>Futamura</t>
        </is>
      </c>
      <c r="AY8" s="121" t="inlineStr">
        <is>
          <t>Not Linked Yet</t>
        </is>
      </c>
      <c r="BQ8" t="inlineStr">
        <is>
          <t>TIPA 306M</t>
        </is>
      </c>
      <c r="BR8" t="n">
        <v>25</v>
      </c>
      <c r="BU8" s="618" t="n">
        <v>618</v>
      </c>
      <c r="BV8" s="612" t="n">
        <v>51</v>
      </c>
      <c r="BW8" s="347" t="inlineStr">
        <is>
          <t>NK</t>
        </is>
      </c>
      <c r="BX8" s="348" t="n">
        <v>23</v>
      </c>
      <c r="BY8" s="482">
        <f>SUM(BX8:BX10)</f>
        <v/>
      </c>
      <c r="BZ8">
        <f>IF(BU8&lt;&gt;"",BU8,BZ7)</f>
        <v/>
      </c>
      <c r="CB8" t="n">
        <v>823</v>
      </c>
      <c r="CC8">
        <f>IF(BV8&lt;&gt;"",BV8,CC7)</f>
        <v/>
      </c>
    </row>
    <row r="9">
      <c r="A9" s="35" t="inlineStr">
        <is>
          <t>AO-PBS</t>
        </is>
      </c>
      <c r="B9" s="35" t="inlineStr">
        <is>
          <t>S723</t>
        </is>
      </c>
      <c r="C9" s="35" t="inlineStr">
        <is>
          <t>RM TA45-08 S723</t>
        </is>
      </c>
      <c r="D9" s="35" t="inlineStr">
        <is>
          <t>Resin 6</t>
        </is>
      </c>
      <c r="E9" s="35" t="n">
        <v>16.16</v>
      </c>
      <c r="I9" t="n">
        <v>55</v>
      </c>
      <c r="O9" s="575" t="n"/>
      <c r="AP9" s="5" t="inlineStr">
        <is>
          <t>NK</t>
        </is>
      </c>
      <c r="AQ9" t="n">
        <v>1.44</v>
      </c>
      <c r="AV9" s="2" t="n">
        <v>618</v>
      </c>
      <c r="AW9" s="118" t="inlineStr">
        <is>
          <t>TIPA 302FG</t>
        </is>
      </c>
      <c r="BQ9" t="inlineStr">
        <is>
          <t>TIPA 306W</t>
        </is>
      </c>
      <c r="BR9" t="n">
        <v>25</v>
      </c>
      <c r="BW9" s="118" t="inlineStr">
        <is>
          <t>TIPA 302FG</t>
        </is>
      </c>
      <c r="BX9" s="58" t="n">
        <v>25</v>
      </c>
      <c r="BZ9">
        <f>IF(BU9&lt;&gt;"",BU9,BZ8)</f>
        <v/>
      </c>
      <c r="CB9" t="n">
        <v>918</v>
      </c>
      <c r="CC9">
        <f>IF(BV9&lt;&gt;"",BV9,CC8)</f>
        <v/>
      </c>
    </row>
    <row r="10" ht="15.75" customHeight="1" s="430" thickBot="1">
      <c r="A10" s="34" t="inlineStr">
        <is>
          <t>SLAB-PBSA</t>
        </is>
      </c>
      <c r="B10" s="34" t="inlineStr">
        <is>
          <t>S724</t>
        </is>
      </c>
      <c r="C10" s="34" t="inlineStr">
        <is>
          <t>RM TA45-08 S724</t>
        </is>
      </c>
      <c r="D10" s="34" t="inlineStr">
        <is>
          <t>Resin 7</t>
        </is>
      </c>
      <c r="E10" s="34" t="n">
        <v>14.7</v>
      </c>
      <c r="I10" t="n">
        <v>60</v>
      </c>
      <c r="O10" s="575" t="n"/>
      <c r="AG10" s="575" t="n"/>
      <c r="AP10" s="5" t="inlineStr">
        <is>
          <t>TIPA 312 MET</t>
        </is>
      </c>
      <c r="AQ10" t="n">
        <v>1.25</v>
      </c>
      <c r="AV10" s="351" t="n">
        <v>618</v>
      </c>
      <c r="AW10" s="119" t="inlineStr">
        <is>
          <t>RM G Epotal ECO 3675</t>
        </is>
      </c>
      <c r="AX10" s="119" t="inlineStr">
        <is>
          <t>Adhesive</t>
        </is>
      </c>
      <c r="AY10" s="120" t="inlineStr">
        <is>
          <t>Epotal 3675</t>
        </is>
      </c>
      <c r="BQ10" t="inlineStr">
        <is>
          <t>RM G Epotal ECO 3675</t>
        </is>
      </c>
      <c r="BR10" t="n">
        <v>3</v>
      </c>
      <c r="BV10" s="119" t="n"/>
      <c r="BW10" s="119">
        <f>$C$17</f>
        <v/>
      </c>
      <c r="BX10" s="119" t="n">
        <v>3</v>
      </c>
      <c r="BY10" s="119" t="n"/>
      <c r="BZ10">
        <f>IF(BU10&lt;&gt;"",BU10,BZ9)</f>
        <v/>
      </c>
      <c r="CB10" t="n">
        <v>919</v>
      </c>
      <c r="CC10">
        <f>IF(BV10&lt;&gt;"",BV10,CC9)</f>
        <v/>
      </c>
    </row>
    <row r="11" ht="15.75" customHeight="1" s="430" thickTop="1">
      <c r="A11" s="35" t="inlineStr">
        <is>
          <t>AB-PLA</t>
        </is>
      </c>
      <c r="B11" s="35" t="inlineStr">
        <is>
          <t>KAB59A</t>
        </is>
      </c>
      <c r="C11" s="35" t="inlineStr">
        <is>
          <t>RM A KAB59A</t>
        </is>
      </c>
      <c r="D11" s="35" t="inlineStr">
        <is>
          <t>Resin 8</t>
        </is>
      </c>
      <c r="E11" s="35" t="n">
        <v>7.55</v>
      </c>
      <c r="I11" t="n">
        <v>65</v>
      </c>
      <c r="O11" s="575" t="n"/>
      <c r="AG11" s="575" t="n"/>
      <c r="AP11" s="5" t="inlineStr">
        <is>
          <t>PBAT</t>
        </is>
      </c>
      <c r="AQ11" t="n">
        <v>1.25</v>
      </c>
      <c r="AV11" s="2" t="inlineStr">
        <is>
          <t>618 W</t>
        </is>
      </c>
      <c r="AW11" t="inlineStr">
        <is>
          <t>NK</t>
        </is>
      </c>
      <c r="AX11" t="inlineStr">
        <is>
          <t>Futamura</t>
        </is>
      </c>
      <c r="AY11" s="121" t="inlineStr">
        <is>
          <t>Not Linked Yet</t>
        </is>
      </c>
      <c r="BQ11" t="inlineStr">
        <is>
          <t>RM G Epotal Eco 3702</t>
        </is>
      </c>
      <c r="BR11" t="n">
        <v>3</v>
      </c>
      <c r="BV11" s="612" t="n">
        <v>60</v>
      </c>
      <c r="BW11" s="347" t="inlineStr">
        <is>
          <t>NK</t>
        </is>
      </c>
      <c r="BX11" s="348" t="n">
        <v>23</v>
      </c>
      <c r="BY11" s="482">
        <f>SUM(BX11:BX13)</f>
        <v/>
      </c>
      <c r="BZ11">
        <f>IF(BU11&lt;&gt;"",BU11,BZ10)</f>
        <v/>
      </c>
      <c r="CB11" t="n">
        <v>923</v>
      </c>
      <c r="CC11">
        <f>IF(BV11&lt;&gt;"",BV11,CC10)</f>
        <v/>
      </c>
    </row>
    <row r="12">
      <c r="A12" s="34" t="inlineStr">
        <is>
          <t>PVOH</t>
        </is>
      </c>
      <c r="B12" s="34" t="inlineStr">
        <is>
          <t>BVE8049P</t>
        </is>
      </c>
      <c r="C12" s="34" t="inlineStr">
        <is>
          <t>BVE8049P</t>
        </is>
      </c>
      <c r="D12" s="34" t="inlineStr">
        <is>
          <t>BVE8049P</t>
        </is>
      </c>
      <c r="E12" s="34" t="n">
        <v>18.5</v>
      </c>
      <c r="I12" t="n">
        <v>70</v>
      </c>
      <c r="O12" s="575" t="n"/>
      <c r="AP12" s="5" t="inlineStr">
        <is>
          <t>Epotal 3702</t>
        </is>
      </c>
      <c r="AV12" s="2" t="inlineStr">
        <is>
          <t>618 W</t>
        </is>
      </c>
      <c r="AW12" s="118" t="inlineStr">
        <is>
          <t>TIPA 302FG W</t>
        </is>
      </c>
      <c r="BQ12" t="inlineStr">
        <is>
          <t>RM G Basonat HW 2270</t>
        </is>
      </c>
      <c r="BR12" t="n">
        <v>3</v>
      </c>
      <c r="BW12" s="118" t="inlineStr">
        <is>
          <t>TIPA 302FG</t>
        </is>
      </c>
      <c r="BX12" s="58" t="n">
        <v>33</v>
      </c>
      <c r="BZ12">
        <f>IF(BU12&lt;&gt;"",BU12,BZ11)</f>
        <v/>
      </c>
      <c r="CB12" t="n">
        <v>928</v>
      </c>
      <c r="CC12">
        <f>IF(BV12&lt;&gt;"",BV12,CC11)</f>
        <v/>
      </c>
    </row>
    <row r="13" ht="15.75" customHeight="1" s="430" thickBot="1">
      <c r="A13" s="35" t="inlineStr">
        <is>
          <t>PBSA</t>
        </is>
      </c>
      <c r="B13" s="35" t="inlineStr">
        <is>
          <t>FD92PM</t>
        </is>
      </c>
      <c r="C13" s="35" t="inlineStr">
        <is>
          <t>RMPM2</t>
        </is>
      </c>
      <c r="D13" s="35" t="inlineStr">
        <is>
          <t>Resin 9C</t>
        </is>
      </c>
      <c r="E13" s="35" t="n">
        <v>6.75</v>
      </c>
      <c r="I13" t="n">
        <v>75</v>
      </c>
      <c r="AP13" s="5" t="inlineStr">
        <is>
          <t>Epotal 3675</t>
        </is>
      </c>
      <c r="AV13" s="351" t="inlineStr">
        <is>
          <t>618 W</t>
        </is>
      </c>
      <c r="AW13" s="119" t="inlineStr">
        <is>
          <t>RM G Epotal ECO 3675</t>
        </is>
      </c>
      <c r="AX13" s="119" t="inlineStr">
        <is>
          <t>Adhesive</t>
        </is>
      </c>
      <c r="AY13" s="120" t="inlineStr">
        <is>
          <t>Epotal 3675</t>
        </is>
      </c>
      <c r="BQ13" t="inlineStr">
        <is>
          <t>Billerud Kraft White Paper</t>
        </is>
      </c>
      <c r="BR13" t="n">
        <v>40</v>
      </c>
      <c r="BV13" s="119" t="n"/>
      <c r="BW13" s="119">
        <f>$C$17</f>
        <v/>
      </c>
      <c r="BX13" s="119" t="n">
        <v>3</v>
      </c>
      <c r="BY13" s="119" t="n"/>
      <c r="BZ13">
        <f>IF(BU13&lt;&gt;"",BU13,BZ12)</f>
        <v/>
      </c>
      <c r="CB13" t="inlineStr">
        <is>
          <t>608 W</t>
        </is>
      </c>
      <c r="CC13">
        <f>IF(BV13&lt;&gt;"",BV13,CC12)</f>
        <v/>
      </c>
    </row>
    <row r="14" ht="15.75" customHeight="1" s="430" thickTop="1">
      <c r="A14" s="34" t="inlineStr">
        <is>
          <t>ECOMP WHITE</t>
        </is>
      </c>
      <c r="B14" s="34" t="inlineStr">
        <is>
          <t>RM WHITE BIO8153</t>
        </is>
      </c>
      <c r="C14" s="34" t="inlineStr">
        <is>
          <t>RM WHITE BIO8153</t>
        </is>
      </c>
      <c r="D14" s="34" t="inlineStr">
        <is>
          <t>Resin 13B</t>
        </is>
      </c>
      <c r="E14" s="34" t="n">
        <v>6.15</v>
      </c>
      <c r="AP14" s="5" t="inlineStr">
        <is>
          <t>Basonat</t>
        </is>
      </c>
      <c r="AV14" s="2" t="n">
        <v>648</v>
      </c>
      <c r="AW14" s="118" t="inlineStr">
        <is>
          <t>NK</t>
        </is>
      </c>
      <c r="AX14" t="inlineStr">
        <is>
          <t>Futamura</t>
        </is>
      </c>
      <c r="BQ14" t="inlineStr">
        <is>
          <t>RM Mbi-EX52A0</t>
        </is>
      </c>
      <c r="BR14" t="n">
        <v>25</v>
      </c>
      <c r="BV14" s="612" t="n">
        <v>65</v>
      </c>
      <c r="BW14" s="347" t="inlineStr">
        <is>
          <t>NK</t>
        </is>
      </c>
      <c r="BX14" s="348" t="n">
        <v>23</v>
      </c>
      <c r="BY14" s="482">
        <f>SUM(BX14:BX16)</f>
        <v/>
      </c>
      <c r="BZ14">
        <f>IF(BU14&lt;&gt;"",BU14,BZ13)</f>
        <v/>
      </c>
      <c r="CB14" t="inlineStr">
        <is>
          <t>618 W</t>
        </is>
      </c>
      <c r="CC14">
        <f>IF(BV14&lt;&gt;"",BV14,CC13)</f>
        <v/>
      </c>
    </row>
    <row r="15">
      <c r="A15" s="35" t="inlineStr">
        <is>
          <t>PBAT</t>
        </is>
      </c>
      <c r="B15" s="35" t="inlineStr">
        <is>
          <t>EX52A0</t>
        </is>
      </c>
      <c r="C15" s="35" t="inlineStr">
        <is>
          <t>RM Mbi-EX52A0</t>
        </is>
      </c>
      <c r="D15" s="35" t="inlineStr">
        <is>
          <t>Resin 2N</t>
        </is>
      </c>
      <c r="E15" s="35" t="n">
        <v>5.5</v>
      </c>
      <c r="F15" s="121" t="inlineStr">
        <is>
          <t>under check</t>
        </is>
      </c>
      <c r="AP15" s="5" t="n"/>
      <c r="AV15" s="2" t="n">
        <v>648</v>
      </c>
      <c r="AW15" s="118" t="inlineStr">
        <is>
          <t>TIPA 302FG</t>
        </is>
      </c>
      <c r="BQ15" t="inlineStr">
        <is>
          <t>Paper</t>
        </is>
      </c>
      <c r="BR15" t="n">
        <v>40</v>
      </c>
      <c r="BW15" s="118" t="inlineStr">
        <is>
          <t>TIPA 302FG</t>
        </is>
      </c>
      <c r="BX15" s="58" t="n">
        <v>40</v>
      </c>
      <c r="BZ15">
        <f>IF(BU15&lt;&gt;"",BU15,BZ14)</f>
        <v/>
      </c>
      <c r="CC15">
        <f>IF(BV15&lt;&gt;"",BV15,CC14)</f>
        <v/>
      </c>
    </row>
    <row r="16" ht="15.75" customHeight="1" s="430" thickBot="1">
      <c r="A16" s="34" t="inlineStr">
        <is>
          <t>Epotal 3702</t>
        </is>
      </c>
      <c r="B16" s="34" t="n"/>
      <c r="C16" s="34" t="inlineStr">
        <is>
          <t>RM G Epotal Eco 3702</t>
        </is>
      </c>
      <c r="D16" s="34" t="n"/>
      <c r="E16" s="34" t="n">
        <v>5.6</v>
      </c>
      <c r="F16" s="121" t="inlineStr">
        <is>
          <t>under check</t>
        </is>
      </c>
      <c r="AP16" s="5" t="n"/>
      <c r="AV16" s="2" t="n">
        <v>648</v>
      </c>
      <c r="AW16" t="inlineStr">
        <is>
          <t>RM G Epotal Eco 3702</t>
        </is>
      </c>
      <c r="AX16" t="inlineStr">
        <is>
          <t>Adhesive</t>
        </is>
      </c>
      <c r="AY16" s="121" t="inlineStr">
        <is>
          <t>Epotal 3702</t>
        </is>
      </c>
      <c r="BV16" s="119" t="n"/>
      <c r="BW16" s="119">
        <f>$C$17</f>
        <v/>
      </c>
      <c r="BX16" s="119" t="n">
        <v>3</v>
      </c>
      <c r="BY16" s="119" t="n"/>
      <c r="BZ16">
        <f>IF(BU16&lt;&gt;"",BU16,BZ15)</f>
        <v/>
      </c>
      <c r="CC16">
        <f>IF(BV16&lt;&gt;"",BV16,CC15)</f>
        <v/>
      </c>
    </row>
    <row r="17" ht="16.5" customHeight="1" s="430" thickBot="1" thickTop="1">
      <c r="A17" s="35" t="inlineStr">
        <is>
          <t>Epotal 3675</t>
        </is>
      </c>
      <c r="B17" s="35" t="n"/>
      <c r="C17" s="35" t="inlineStr">
        <is>
          <t>RM G Epotal ECO 3675</t>
        </is>
      </c>
      <c r="D17" s="35" t="n"/>
      <c r="E17" s="35" t="n">
        <v>4.65</v>
      </c>
      <c r="F17" s="121" t="inlineStr">
        <is>
          <t>under check</t>
        </is>
      </c>
      <c r="AP17" s="5" t="n"/>
      <c r="AV17" s="351" t="n">
        <v>648</v>
      </c>
      <c r="AW17" s="119" t="inlineStr">
        <is>
          <t>RM G Basonat HW 2270</t>
        </is>
      </c>
      <c r="AX17" s="119" t="inlineStr">
        <is>
          <t>Harderer</t>
        </is>
      </c>
      <c r="AY17" s="120" t="inlineStr">
        <is>
          <t>Basonat</t>
        </is>
      </c>
      <c r="BV17" s="612" t="n">
        <v>70</v>
      </c>
      <c r="BW17" s="347" t="inlineStr">
        <is>
          <t>NK</t>
        </is>
      </c>
      <c r="BX17" s="348" t="n">
        <v>23</v>
      </c>
      <c r="BY17" s="482">
        <f>SUM(BX17:BX19)</f>
        <v/>
      </c>
      <c r="BZ17">
        <f>IF(BU17&lt;&gt;"",BU17,BZ16)</f>
        <v/>
      </c>
      <c r="CC17">
        <f>IF(BV17&lt;&gt;"",BV17,CC16)</f>
        <v/>
      </c>
    </row>
    <row r="18" ht="15.75" customHeight="1" s="430" thickTop="1">
      <c r="A18" s="34" t="inlineStr">
        <is>
          <t>Basonat</t>
        </is>
      </c>
      <c r="B18" s="34" t="n"/>
      <c r="C18" s="34" t="inlineStr">
        <is>
          <t>RM G Basonat HW 2270</t>
        </is>
      </c>
      <c r="D18" s="34" t="n"/>
      <c r="E18" s="34" t="n">
        <v>10.45</v>
      </c>
      <c r="F18" s="121" t="inlineStr">
        <is>
          <t>under check</t>
        </is>
      </c>
      <c r="AP18" s="5" t="n"/>
      <c r="AV18" s="2" t="n">
        <v>418</v>
      </c>
      <c r="AW18" s="118" t="inlineStr">
        <is>
          <t>NK</t>
        </is>
      </c>
      <c r="AX18" t="inlineStr">
        <is>
          <t>Futamura</t>
        </is>
      </c>
      <c r="BW18" s="118" t="inlineStr">
        <is>
          <t>TIPA 302FG</t>
        </is>
      </c>
      <c r="BX18" s="58" t="n">
        <v>45</v>
      </c>
      <c r="BZ18">
        <f>IF(BU18&lt;&gt;"",BU18,BZ17)</f>
        <v/>
      </c>
      <c r="CC18">
        <f>IF(BV18&lt;&gt;"",BV18,CC17)</f>
        <v/>
      </c>
    </row>
    <row r="19" ht="15.75" customHeight="1" s="430" thickBot="1">
      <c r="A19" s="35" t="inlineStr">
        <is>
          <t>NK</t>
        </is>
      </c>
      <c r="B19" s="35" t="inlineStr">
        <is>
          <t>NK</t>
        </is>
      </c>
      <c r="C19" s="35" t="inlineStr">
        <is>
          <t>NK</t>
        </is>
      </c>
      <c r="D19" s="35" t="inlineStr">
        <is>
          <t>NK</t>
        </is>
      </c>
      <c r="E19" s="35" t="n">
        <v>7.95</v>
      </c>
      <c r="F19" s="121" t="inlineStr">
        <is>
          <t>under check</t>
        </is>
      </c>
      <c r="AP19" s="5" t="n"/>
      <c r="AV19" s="2" t="n">
        <v>418</v>
      </c>
      <c r="AW19" s="118" t="inlineStr">
        <is>
          <t>TIPA 312 MET</t>
        </is>
      </c>
      <c r="AX19" t="inlineStr">
        <is>
          <t>Metallized</t>
        </is>
      </c>
      <c r="AY19" s="122" t="n"/>
      <c r="BV19" s="119" t="n"/>
      <c r="BW19" s="119">
        <f>$C$17</f>
        <v/>
      </c>
      <c r="BX19" s="119" t="n">
        <v>3</v>
      </c>
      <c r="BY19" s="119" t="n"/>
      <c r="BZ19">
        <f>IF(BU19&lt;&gt;"",BU19,BZ18)</f>
        <v/>
      </c>
      <c r="CC19">
        <f>IF(BV19&lt;&gt;"",BV19,CC18)</f>
        <v/>
      </c>
    </row>
    <row r="20" ht="16.5" customHeight="1" s="430" thickBot="1" thickTop="1">
      <c r="A20" s="34" t="inlineStr">
        <is>
          <t xml:space="preserve">MET LUX </t>
        </is>
      </c>
      <c r="B20" s="34" t="inlineStr">
        <is>
          <t xml:space="preserve">MET LUX </t>
        </is>
      </c>
      <c r="C20" s="34" t="inlineStr">
        <is>
          <t xml:space="preserve">MET LUX </t>
        </is>
      </c>
      <c r="D20" s="34" t="inlineStr">
        <is>
          <t xml:space="preserve">MET LUX </t>
        </is>
      </c>
      <c r="E20" s="34" t="n">
        <v>2.02</v>
      </c>
      <c r="F20" s="121" t="inlineStr">
        <is>
          <t>need to be added to TIPA 312 MFG, check the pricelist</t>
        </is>
      </c>
      <c r="AP20" s="5">
        <f t="array" ref="AP20">IFERROR(INDEX(_xlfn._xlws.FILTER(BOM!$Q$2:$Q$20,(LEFT(BOM!$Q$2:$Q$20,4)&lt;&gt;"TIPA")*(BOM!$Q$2:$Q$20&lt;&gt;"")*(BOM!$Q$2:$Q$20&lt;&gt;0)),4),"")</f>
        <v/>
      </c>
      <c r="AV20" s="351" t="n">
        <v>418</v>
      </c>
      <c r="AW20" s="119" t="inlineStr">
        <is>
          <t>RM G Epotal ECO 3675</t>
        </is>
      </c>
      <c r="AX20" s="119" t="inlineStr">
        <is>
          <t>Adhesive</t>
        </is>
      </c>
      <c r="AY20" s="120" t="inlineStr">
        <is>
          <t>Epotal 3675</t>
        </is>
      </c>
      <c r="BV20" s="612" t="n">
        <v>106</v>
      </c>
      <c r="BW20" s="347" t="inlineStr">
        <is>
          <t>NK</t>
        </is>
      </c>
      <c r="BX20" s="348" t="n">
        <v>23</v>
      </c>
      <c r="BY20" s="482">
        <f>SUM(BX20:BX22)</f>
        <v/>
      </c>
      <c r="BZ20">
        <f>IF(BU20&lt;&gt;"",BU20,BZ19)</f>
        <v/>
      </c>
      <c r="CC20">
        <f>IF(BV20&lt;&gt;"",BV20,CC19)</f>
        <v/>
      </c>
    </row>
    <row r="21" ht="15.75" customHeight="1" s="430" thickTop="1">
      <c r="A21" s="5" t="inlineStr">
        <is>
          <t>Billerud Kraft White Paper</t>
        </is>
      </c>
      <c r="B21" s="5" t="inlineStr">
        <is>
          <t>Billerud Kraft White Paper</t>
        </is>
      </c>
      <c r="C21" s="5" t="inlineStr">
        <is>
          <t>Billerud Kraft White Paper</t>
        </is>
      </c>
      <c r="D21" s="5" t="inlineStr">
        <is>
          <t>Billerud Kraft White Paper</t>
        </is>
      </c>
      <c r="E21" s="418" t="n">
        <v>1.31</v>
      </c>
      <c r="AV21" s="2" t="n">
        <v>428</v>
      </c>
      <c r="AW21" s="118" t="inlineStr">
        <is>
          <t>NK</t>
        </is>
      </c>
      <c r="AX21" t="inlineStr">
        <is>
          <t>Futamura</t>
        </is>
      </c>
      <c r="BW21" s="118" t="inlineStr">
        <is>
          <t>TIPA 302FG</t>
        </is>
      </c>
      <c r="BX21" s="58" t="n">
        <v>80</v>
      </c>
      <c r="BZ21">
        <f>IF(BU21&lt;&gt;"",BU21,BZ20)</f>
        <v/>
      </c>
      <c r="CC21">
        <f>IF(BV21&lt;&gt;"",BV21,CC20)</f>
        <v/>
      </c>
    </row>
    <row r="22" ht="15.75" customHeight="1" s="430" thickBot="1">
      <c r="A22" s="34" t="n"/>
      <c r="B22" s="34" t="n"/>
      <c r="C22" s="34" t="n"/>
      <c r="D22" s="34" t="n"/>
      <c r="E22" s="34" t="n"/>
      <c r="AV22" s="2" t="n">
        <v>428</v>
      </c>
      <c r="AW22" s="118" t="inlineStr">
        <is>
          <t>TIPA 312 MET</t>
        </is>
      </c>
      <c r="AX22" t="inlineStr">
        <is>
          <t>Metallized</t>
        </is>
      </c>
      <c r="AY22" s="122" t="n"/>
      <c r="BU22" s="119" t="n"/>
      <c r="BV22" s="119" t="n"/>
      <c r="BW22" s="119">
        <f>$C$17</f>
        <v/>
      </c>
      <c r="BX22" s="119" t="n">
        <v>3</v>
      </c>
      <c r="BY22" s="119" t="n"/>
      <c r="BZ22">
        <f>IF(BU22&lt;&gt;"",BU22,BZ21)</f>
        <v/>
      </c>
      <c r="CC22">
        <f>IF(BV22&lt;&gt;"",BV22,CC21)</f>
        <v/>
      </c>
    </row>
    <row r="23" ht="15.75" customHeight="1" s="430" thickTop="1">
      <c r="A23" s="35" t="n"/>
      <c r="B23" s="35" t="n"/>
      <c r="C23" s="35" t="n"/>
      <c r="D23" s="35" t="n"/>
      <c r="E23" s="35" t="n"/>
      <c r="AV23" s="2" t="n">
        <v>428</v>
      </c>
      <c r="AW23" s="118" t="inlineStr">
        <is>
          <t>TIPA 312 MET</t>
        </is>
      </c>
      <c r="AX23" t="inlineStr">
        <is>
          <t>Metallized</t>
        </is>
      </c>
      <c r="AY23" s="122" t="n"/>
      <c r="BU23" s="618" t="inlineStr">
        <is>
          <t>618 W</t>
        </is>
      </c>
      <c r="BV23" s="612" t="n">
        <v>51</v>
      </c>
      <c r="BW23" s="347" t="inlineStr">
        <is>
          <t>NK</t>
        </is>
      </c>
      <c r="BX23" s="348" t="n">
        <v>23</v>
      </c>
      <c r="BY23" s="482">
        <f>SUM(BX23:BX25)</f>
        <v/>
      </c>
      <c r="BZ23">
        <f>IF(BU23&lt;&gt;"",BU23,BZ22)</f>
        <v/>
      </c>
      <c r="CC23">
        <f>IF(BV23&lt;&gt;"",BV23,CC22)</f>
        <v/>
      </c>
    </row>
    <row r="24">
      <c r="A24" s="35" t="n"/>
      <c r="B24" s="35" t="n"/>
      <c r="C24" s="35" t="n"/>
      <c r="D24" s="35" t="n"/>
      <c r="E24" s="35" t="n"/>
      <c r="AV24" s="2" t="n">
        <v>428</v>
      </c>
      <c r="AW24" s="118" t="inlineStr">
        <is>
          <t>RM G Epotal ECO 3675</t>
        </is>
      </c>
      <c r="AX24" t="inlineStr">
        <is>
          <t>Adhesive</t>
        </is>
      </c>
      <c r="AY24" s="122" t="n"/>
      <c r="BW24" s="118" t="inlineStr">
        <is>
          <t>TIPA 302FG W</t>
        </is>
      </c>
      <c r="BX24" s="58" t="n">
        <v>25</v>
      </c>
      <c r="BZ24">
        <f>IF(BU24&lt;&gt;"",BU24,BZ23)</f>
        <v/>
      </c>
      <c r="CC24">
        <f>IF(BV24&lt;&gt;"",BV24,CC23)</f>
        <v/>
      </c>
    </row>
    <row r="25" ht="15.75" customHeight="1" s="430" thickBot="1">
      <c r="A25" s="34" t="n"/>
      <c r="B25" s="34" t="n"/>
      <c r="C25" s="34" t="n"/>
      <c r="D25" s="34" t="n"/>
      <c r="E25" s="34" t="n"/>
      <c r="AV25" s="351" t="n"/>
      <c r="AW25" s="119" t="n"/>
      <c r="AX25" s="119" t="n"/>
      <c r="AY25" s="120" t="n"/>
      <c r="BV25" s="119" t="n"/>
      <c r="BW25" s="119">
        <f>$C$17</f>
        <v/>
      </c>
      <c r="BX25" s="119" t="n">
        <v>3</v>
      </c>
      <c r="BY25" s="119" t="n"/>
      <c r="BZ25">
        <f>IF(BU25&lt;&gt;"",BU25,BZ24)</f>
        <v/>
      </c>
      <c r="CC25">
        <f>IF(BV25&lt;&gt;"",BV25,CC24)</f>
        <v/>
      </c>
    </row>
    <row r="26" ht="15.75" customHeight="1" s="430" thickTop="1">
      <c r="A26" s="35" t="n"/>
      <c r="B26" s="35" t="n"/>
      <c r="C26" s="35" t="n"/>
      <c r="D26" s="35" t="n"/>
      <c r="E26" s="35" t="n"/>
      <c r="AV26" s="2" t="n">
        <v>918</v>
      </c>
      <c r="AW26" s="118" t="inlineStr">
        <is>
          <t>NK</t>
        </is>
      </c>
      <c r="AX26" t="inlineStr">
        <is>
          <t>Futamura</t>
        </is>
      </c>
      <c r="BV26" s="612" t="n">
        <v>60</v>
      </c>
      <c r="BW26" s="347" t="inlineStr">
        <is>
          <t>NK</t>
        </is>
      </c>
      <c r="BX26" s="348" t="n">
        <v>23</v>
      </c>
      <c r="BY26" s="482">
        <f>SUM(BX26:BX28)</f>
        <v/>
      </c>
      <c r="BZ26">
        <f>IF(BU26&lt;&gt;"",BU26,BZ25)</f>
        <v/>
      </c>
      <c r="CC26">
        <f>IF(BV26&lt;&gt;"",BV26,CC25)</f>
        <v/>
      </c>
    </row>
    <row r="27">
      <c r="A27" s="34" t="n"/>
      <c r="B27" s="34" t="n"/>
      <c r="C27" s="34" t="n"/>
      <c r="D27" s="34" t="n"/>
      <c r="E27" s="34" t="n"/>
      <c r="AV27" s="2" t="n">
        <v>918</v>
      </c>
      <c r="AW27" s="118" t="inlineStr">
        <is>
          <t>TIPA 312 MET</t>
        </is>
      </c>
      <c r="AX27" t="inlineStr">
        <is>
          <t>Metallized</t>
        </is>
      </c>
      <c r="AY27" s="122" t="n"/>
      <c r="BW27" s="118" t="inlineStr">
        <is>
          <t>TIPA 302FG W</t>
        </is>
      </c>
      <c r="BX27" s="58" t="n">
        <v>33</v>
      </c>
      <c r="BZ27">
        <f>IF(BU27&lt;&gt;"",BU27,BZ26)</f>
        <v/>
      </c>
      <c r="CC27">
        <f>IF(BV27&lt;&gt;"",BV27,CC26)</f>
        <v/>
      </c>
    </row>
    <row r="28" ht="15.75" customHeight="1" s="430" thickBot="1">
      <c r="A28" s="35" t="n"/>
      <c r="B28" s="35" t="n"/>
      <c r="C28" s="35" t="n"/>
      <c r="D28" s="35" t="n"/>
      <c r="E28" s="35" t="n"/>
      <c r="AV28" s="2" t="n">
        <v>918</v>
      </c>
      <c r="AW28" t="inlineStr">
        <is>
          <t>RM G Epotal Eco 3702</t>
        </is>
      </c>
      <c r="AX28" t="inlineStr">
        <is>
          <t>Adhesive</t>
        </is>
      </c>
      <c r="AY28" s="121" t="inlineStr">
        <is>
          <t>Epotal 3702</t>
        </is>
      </c>
      <c r="BV28" s="119" t="n"/>
      <c r="BW28" s="119">
        <f>$C$17</f>
        <v/>
      </c>
      <c r="BX28" s="119" t="n">
        <v>3</v>
      </c>
      <c r="BY28" s="119" t="n"/>
      <c r="BZ28">
        <f>IF(BU28&lt;&gt;"",BU28,BZ27)</f>
        <v/>
      </c>
      <c r="CC28">
        <f>IF(BV28&lt;&gt;"",BV28,CC27)</f>
        <v/>
      </c>
    </row>
    <row r="29" ht="16.5" customHeight="1" s="430" thickBot="1" thickTop="1">
      <c r="A29" s="34" t="n"/>
      <c r="B29" s="34" t="n"/>
      <c r="C29" s="34" t="n"/>
      <c r="D29" s="34" t="n"/>
      <c r="E29" s="34" t="n"/>
      <c r="AV29" s="351" t="n">
        <v>918</v>
      </c>
      <c r="AW29" s="119" t="inlineStr">
        <is>
          <t>RM G Basonat HW 2270</t>
        </is>
      </c>
      <c r="AX29" s="119" t="inlineStr">
        <is>
          <t>Harderer</t>
        </is>
      </c>
      <c r="AY29" s="120" t="inlineStr">
        <is>
          <t>Basonat</t>
        </is>
      </c>
      <c r="BV29" s="612" t="n">
        <v>65</v>
      </c>
      <c r="BW29" s="347" t="inlineStr">
        <is>
          <t>NK</t>
        </is>
      </c>
      <c r="BX29" s="348" t="n">
        <v>23</v>
      </c>
      <c r="BY29" s="482">
        <f>SUM(BX29:BX31)</f>
        <v/>
      </c>
      <c r="BZ29">
        <f>IF(BU29&lt;&gt;"",BU29,BZ28)</f>
        <v/>
      </c>
      <c r="CC29">
        <f>IF(BV29&lt;&gt;"",BV29,CC28)</f>
        <v/>
      </c>
    </row>
    <row r="30" ht="15.75" customHeight="1" s="430" thickTop="1">
      <c r="A30" s="35" t="n"/>
      <c r="B30" s="35" t="n"/>
      <c r="C30" s="35" t="n"/>
      <c r="D30" s="35" t="n"/>
      <c r="E30" s="35" t="n"/>
      <c r="AV30" s="2" t="n">
        <v>928</v>
      </c>
      <c r="AW30" s="118" t="inlineStr">
        <is>
          <t>NK</t>
        </is>
      </c>
      <c r="AX30" t="inlineStr">
        <is>
          <t>Futamura</t>
        </is>
      </c>
      <c r="BW30" s="118" t="inlineStr">
        <is>
          <t>TIPA 302FG W</t>
        </is>
      </c>
      <c r="BX30" s="58" t="n">
        <v>40</v>
      </c>
      <c r="BZ30">
        <f>IF(BU30&lt;&gt;"",BU30,BZ29)</f>
        <v/>
      </c>
      <c r="CC30">
        <f>IF(BV30&lt;&gt;"",BV30,CC29)</f>
        <v/>
      </c>
    </row>
    <row r="31" ht="15.75" customHeight="1" s="430" thickBot="1">
      <c r="A31" s="34" t="n"/>
      <c r="B31" s="34" t="n"/>
      <c r="C31" s="34" t="n"/>
      <c r="D31" s="34" t="n"/>
      <c r="E31" s="34" t="n"/>
      <c r="AV31" s="2" t="n">
        <v>928</v>
      </c>
      <c r="AW31" s="118" t="inlineStr">
        <is>
          <t>TIPA 312 MET</t>
        </is>
      </c>
      <c r="AX31" t="inlineStr">
        <is>
          <t>Metallized</t>
        </is>
      </c>
      <c r="AY31" s="122" t="n"/>
      <c r="BV31" s="119" t="n"/>
      <c r="BW31" s="119">
        <f>$C$17</f>
        <v/>
      </c>
      <c r="BX31" s="119" t="n">
        <v>3</v>
      </c>
      <c r="BY31" s="119" t="n"/>
      <c r="BZ31">
        <f>IF(BU31&lt;&gt;"",BU31,BZ30)</f>
        <v/>
      </c>
      <c r="CC31">
        <f>IF(BV31&lt;&gt;"",BV31,CC30)</f>
        <v/>
      </c>
    </row>
    <row r="32" ht="15.75" customHeight="1" s="430" thickTop="1">
      <c r="A32" s="35" t="n"/>
      <c r="B32" s="35" t="n"/>
      <c r="C32" s="35" t="n"/>
      <c r="D32" s="35" t="n"/>
      <c r="E32" s="35" t="n"/>
      <c r="AV32" s="2" t="n">
        <v>928</v>
      </c>
      <c r="AW32" s="118" t="inlineStr">
        <is>
          <t>TIPA 312 MET</t>
        </is>
      </c>
      <c r="AX32" t="inlineStr">
        <is>
          <t>Metallized</t>
        </is>
      </c>
      <c r="AY32" s="122" t="n"/>
      <c r="BV32" s="612" t="n">
        <v>70</v>
      </c>
      <c r="BW32" s="347" t="inlineStr">
        <is>
          <t>NK</t>
        </is>
      </c>
      <c r="BX32" s="348" t="n">
        <v>23</v>
      </c>
      <c r="BY32" s="482">
        <f>SUM(BX32:BX34)</f>
        <v/>
      </c>
      <c r="BZ32">
        <f>IF(BU32&lt;&gt;"",BU32,BZ31)</f>
        <v/>
      </c>
      <c r="CC32">
        <f>IF(BV32&lt;&gt;"",BV32,CC31)</f>
        <v/>
      </c>
    </row>
    <row r="33">
      <c r="AV33" s="2" t="n">
        <v>928</v>
      </c>
      <c r="AW33" t="inlineStr">
        <is>
          <t>RM G Epotal Eco 3702</t>
        </is>
      </c>
      <c r="AX33" t="inlineStr">
        <is>
          <t>Adhesive</t>
        </is>
      </c>
      <c r="AY33" s="121" t="inlineStr">
        <is>
          <t>Epotal 3702</t>
        </is>
      </c>
      <c r="BW33" s="118" t="inlineStr">
        <is>
          <t>TIPA 302FG W</t>
        </is>
      </c>
      <c r="BX33" s="58" t="n">
        <v>45</v>
      </c>
      <c r="BZ33">
        <f>IF(BU33&lt;&gt;"",BU33,BZ32)</f>
        <v/>
      </c>
      <c r="CC33">
        <f>IF(BV33&lt;&gt;"",BV33,CC32)</f>
        <v/>
      </c>
    </row>
    <row r="34" ht="15.75" customHeight="1" s="430" thickBot="1">
      <c r="AV34" s="351" t="n">
        <v>928</v>
      </c>
      <c r="AW34" s="119" t="inlineStr">
        <is>
          <t>RM G Basonat HW 2270</t>
        </is>
      </c>
      <c r="AX34" s="119" t="inlineStr">
        <is>
          <t>Hardener</t>
        </is>
      </c>
      <c r="AY34" s="120" t="inlineStr">
        <is>
          <t>Basonat</t>
        </is>
      </c>
      <c r="BV34" s="119" t="n"/>
      <c r="BW34" s="119">
        <f>$C$17</f>
        <v/>
      </c>
      <c r="BX34" s="119" t="n">
        <v>3</v>
      </c>
      <c r="BY34" s="119" t="n"/>
      <c r="BZ34">
        <f>IF(BU34&lt;&gt;"",BU34,BZ33)</f>
        <v/>
      </c>
      <c r="CC34">
        <f>IF(BV34&lt;&gt;"",BV34,CC33)</f>
        <v/>
      </c>
    </row>
    <row r="35" ht="15.75" customHeight="1" s="430" thickTop="1">
      <c r="AV35" s="2" t="n">
        <v>819</v>
      </c>
      <c r="AW35" s="118" t="inlineStr">
        <is>
          <t>NK</t>
        </is>
      </c>
      <c r="AX35" t="inlineStr">
        <is>
          <t>Futamura</t>
        </is>
      </c>
      <c r="BV35" s="612" t="n">
        <v>106</v>
      </c>
      <c r="BW35" s="347" t="inlineStr">
        <is>
          <t>NK</t>
        </is>
      </c>
      <c r="BX35" s="348" t="n">
        <v>23</v>
      </c>
      <c r="BY35" s="482">
        <f>SUM(BX35:BX37)</f>
        <v/>
      </c>
      <c r="BZ35">
        <f>IF(BU35&lt;&gt;"",BU35,BZ34)</f>
        <v/>
      </c>
      <c r="CC35">
        <f>IF(BV35&lt;&gt;"",BV35,CC34)</f>
        <v/>
      </c>
    </row>
    <row r="36">
      <c r="AT36" s="121" t="n"/>
      <c r="AV36" s="2" t="n">
        <v>819</v>
      </c>
      <c r="AW36" t="inlineStr">
        <is>
          <t>TIPA 302FG</t>
        </is>
      </c>
      <c r="BW36" s="118" t="inlineStr">
        <is>
          <t>TIPA 302FG W</t>
        </is>
      </c>
      <c r="BX36" s="58" t="n">
        <v>80</v>
      </c>
      <c r="BZ36">
        <f>IF(BU36&lt;&gt;"",BU36,BZ35)</f>
        <v/>
      </c>
      <c r="CC36">
        <f>IF(BV36&lt;&gt;"",BV36,CC35)</f>
        <v/>
      </c>
    </row>
    <row r="37" ht="15.75" customHeight="1" s="430" thickBot="1">
      <c r="AT37" s="121" t="n"/>
      <c r="AV37" s="2" t="n">
        <v>819</v>
      </c>
      <c r="AW37" s="118" t="inlineStr">
        <is>
          <t>Billerud Kraft White Paper</t>
        </is>
      </c>
      <c r="AX37" t="inlineStr">
        <is>
          <t>Paper</t>
        </is>
      </c>
      <c r="AY37" s="122" t="n"/>
      <c r="BU37" s="119" t="n"/>
      <c r="BV37" s="119" t="n"/>
      <c r="BW37" s="119">
        <f>$C$17</f>
        <v/>
      </c>
      <c r="BX37" s="119" t="n">
        <v>3</v>
      </c>
      <c r="BY37" s="119" t="n"/>
      <c r="BZ37">
        <f>IF(BU37&lt;&gt;"",BU37,BZ36)</f>
        <v/>
      </c>
      <c r="CC37">
        <f>IF(BV37&lt;&gt;"",BV37,CC36)</f>
        <v/>
      </c>
    </row>
    <row r="38" ht="16.5" customHeight="1" s="430" thickBot="1" thickTop="1">
      <c r="AT38" s="121" t="n"/>
      <c r="AV38" s="351" t="n">
        <v>819</v>
      </c>
      <c r="AW38" s="119" t="inlineStr">
        <is>
          <t>RM G Epotal ECO 3675</t>
        </is>
      </c>
      <c r="AX38" s="119" t="inlineStr">
        <is>
          <t>Adhesive</t>
        </is>
      </c>
      <c r="AY38" s="120" t="inlineStr">
        <is>
          <t>Epotal 3675</t>
        </is>
      </c>
      <c r="BU38" s="618" t="n">
        <v>418</v>
      </c>
      <c r="BV38" s="618" t="n">
        <v>51</v>
      </c>
      <c r="BW38" s="348" t="inlineStr">
        <is>
          <t>NK</t>
        </is>
      </c>
      <c r="BX38" s="348" t="n">
        <v>23</v>
      </c>
      <c r="BY38" s="619">
        <f>SUM(BX38:BX40)</f>
        <v/>
      </c>
      <c r="BZ38">
        <f>IF(BU38&lt;&gt;"",BU38,BZ37)</f>
        <v/>
      </c>
      <c r="CC38">
        <f>IF(BV38&lt;&gt;"",BV38,CC37)</f>
        <v/>
      </c>
    </row>
    <row r="39" ht="15.75" customHeight="1" s="430" thickTop="1">
      <c r="AT39" s="121" t="n"/>
      <c r="AV39" s="2" t="n">
        <v>919</v>
      </c>
      <c r="AW39" s="118" t="inlineStr">
        <is>
          <t>NK</t>
        </is>
      </c>
      <c r="AX39" t="inlineStr">
        <is>
          <t>Futamura</t>
        </is>
      </c>
      <c r="BW39" t="inlineStr">
        <is>
          <t>TIPA 312 MET</t>
        </is>
      </c>
      <c r="BX39" t="n">
        <v>25</v>
      </c>
      <c r="BZ39">
        <f>IF(BU39&lt;&gt;"",BU39,BZ38)</f>
        <v/>
      </c>
      <c r="CC39">
        <f>IF(BV39&lt;&gt;"",BV39,CC38)</f>
        <v/>
      </c>
    </row>
    <row r="40" ht="15.75" customHeight="1" s="430" thickBot="1">
      <c r="AV40" s="2" t="n">
        <v>919</v>
      </c>
      <c r="AW40" t="inlineStr">
        <is>
          <t>TIPA 312 MFG</t>
        </is>
      </c>
      <c r="BU40" s="119" t="n"/>
      <c r="BV40" s="119" t="n"/>
      <c r="BW40" s="119" t="inlineStr">
        <is>
          <t>RM G Epotal ECO 3675</t>
        </is>
      </c>
      <c r="BX40" s="119" t="n">
        <v>3</v>
      </c>
      <c r="BY40" s="119" t="n"/>
      <c r="BZ40">
        <f>IF(BU40&lt;&gt;"",BU40,BZ39)</f>
        <v/>
      </c>
      <c r="CC40">
        <f>IF(BV40&lt;&gt;"",BV40,CC39)</f>
        <v/>
      </c>
    </row>
    <row r="41" ht="15.75" customHeight="1" s="430" thickTop="1">
      <c r="AV41" s="2" t="n">
        <v>919</v>
      </c>
      <c r="AW41" s="118" t="inlineStr">
        <is>
          <t>Billerud Kraft White Paper</t>
        </is>
      </c>
      <c r="AX41" t="inlineStr">
        <is>
          <t>Paper</t>
        </is>
      </c>
      <c r="AY41" s="122" t="n"/>
      <c r="BU41" s="618" t="n">
        <v>648</v>
      </c>
      <c r="BV41" s="618" t="n">
        <v>106</v>
      </c>
      <c r="BW41" s="347" t="inlineStr">
        <is>
          <t>NK</t>
        </is>
      </c>
      <c r="BX41" s="348" t="n">
        <v>23</v>
      </c>
      <c r="BY41" s="618">
        <f>SUM(BX41:BX44)</f>
        <v/>
      </c>
      <c r="BZ41">
        <f>IF(BU41&lt;&gt;"",BU41,BZ40)</f>
        <v/>
      </c>
      <c r="CC41">
        <f>IF(BV41&lt;&gt;"",BV41,CC40)</f>
        <v/>
      </c>
    </row>
    <row r="42">
      <c r="AV42" s="2" t="n">
        <v>919</v>
      </c>
      <c r="AW42" t="inlineStr">
        <is>
          <t>Adhesive</t>
        </is>
      </c>
      <c r="AX42" t="inlineStr">
        <is>
          <t>Epotal 3702</t>
        </is>
      </c>
      <c r="AY42" s="121" t="inlineStr">
        <is>
          <t>Epotal 3702</t>
        </is>
      </c>
      <c r="BW42" s="118" t="inlineStr">
        <is>
          <t>TIPA 302FG</t>
        </is>
      </c>
      <c r="BX42" t="n">
        <v>80</v>
      </c>
      <c r="BZ42">
        <f>IF(BU42&lt;&gt;"",BU42,BZ41)</f>
        <v/>
      </c>
      <c r="CC42">
        <f>IF(BV42&lt;&gt;"",BV42,CC41)</f>
        <v/>
      </c>
    </row>
    <row r="43" ht="15.75" customHeight="1" s="430" thickBot="1">
      <c r="AV43" s="351" t="n">
        <v>919</v>
      </c>
      <c r="AW43" s="119" t="inlineStr">
        <is>
          <t>RM G Basonat HW 2270</t>
        </is>
      </c>
      <c r="AX43" s="119" t="inlineStr">
        <is>
          <t>Hardener</t>
        </is>
      </c>
      <c r="AY43" s="120" t="inlineStr">
        <is>
          <t>Basonat</t>
        </is>
      </c>
      <c r="BW43" t="inlineStr">
        <is>
          <t>RM G Epotal Eco 3702</t>
        </is>
      </c>
      <c r="BX43">
        <f>3*0.97</f>
        <v/>
      </c>
      <c r="BZ43">
        <f>IF(BU43&lt;&gt;"",BU43,BZ42)</f>
        <v/>
      </c>
      <c r="CC43">
        <f>IF(BV43&lt;&gt;"",BV43,CC42)</f>
        <v/>
      </c>
    </row>
    <row r="44" ht="16.5" customHeight="1" s="430" thickBot="1" thickTop="1">
      <c r="AV44" s="2" t="n">
        <v>823</v>
      </c>
      <c r="AW44" s="118" t="inlineStr">
        <is>
          <t>NK</t>
        </is>
      </c>
      <c r="AX44" t="inlineStr">
        <is>
          <t>Futamura</t>
        </is>
      </c>
      <c r="BU44" s="119" t="n"/>
      <c r="BV44" s="119" t="n"/>
      <c r="BW44" s="119" t="inlineStr">
        <is>
          <t>RM G Basonat HW 2270</t>
        </is>
      </c>
      <c r="BX44" s="119">
        <f>3-BX43</f>
        <v/>
      </c>
      <c r="BY44" s="119" t="n"/>
      <c r="BZ44">
        <f>IF(BU44&lt;&gt;"",BU44,BZ43)</f>
        <v/>
      </c>
      <c r="CC44">
        <f>IF(BV44&lt;&gt;"",BV44,CC43)</f>
        <v/>
      </c>
    </row>
    <row r="45" ht="15.75" customHeight="1" s="430" thickTop="1">
      <c r="AV45" s="2" t="n">
        <v>823</v>
      </c>
      <c r="AW45" s="118" t="inlineStr">
        <is>
          <t>TIPA 312 MET</t>
        </is>
      </c>
      <c r="AX45" t="inlineStr">
        <is>
          <t>Metallized</t>
        </is>
      </c>
      <c r="AY45" s="122" t="n"/>
      <c r="BU45" s="495" t="n">
        <v>428</v>
      </c>
      <c r="BV45" s="495" t="n">
        <v>79</v>
      </c>
      <c r="BW45" s="347" t="inlineStr">
        <is>
          <t>NK</t>
        </is>
      </c>
      <c r="BX45" s="348" t="n">
        <v>23</v>
      </c>
      <c r="BY45" s="495">
        <f>SUM(BX45:BX48)</f>
        <v/>
      </c>
      <c r="BZ45">
        <f>IF(BU45&lt;&gt;"",BU45,BZ44)</f>
        <v/>
      </c>
      <c r="CC45">
        <f>IF(BV45&lt;&gt;"",BV45,CC44)</f>
        <v/>
      </c>
    </row>
    <row r="46">
      <c r="AV46" s="2" t="n">
        <v>823</v>
      </c>
      <c r="AW46" s="118" t="inlineStr">
        <is>
          <t>Billerud Kraft White Paper</t>
        </is>
      </c>
      <c r="AX46" t="inlineStr">
        <is>
          <t>Paper</t>
        </is>
      </c>
      <c r="AY46" s="122" t="n"/>
      <c r="BW46" s="118" t="inlineStr">
        <is>
          <t>TIPA 312 MET</t>
        </is>
      </c>
      <c r="BX46" t="n">
        <v>25</v>
      </c>
      <c r="BZ46">
        <f>IF(BU46&lt;&gt;"",BU46,BZ45)</f>
        <v/>
      </c>
      <c r="CC46">
        <f>IF(BV46&lt;&gt;"",BV46,CC45)</f>
        <v/>
      </c>
    </row>
    <row r="47" ht="15.75" customHeight="1" s="430" thickBot="1">
      <c r="AV47" s="351" t="n">
        <v>823</v>
      </c>
      <c r="AW47" s="119" t="inlineStr">
        <is>
          <t>RM G Epotal ECO 3675</t>
        </is>
      </c>
      <c r="AX47" s="119" t="inlineStr">
        <is>
          <t>Adhesive</t>
        </is>
      </c>
      <c r="AY47" s="120" t="inlineStr">
        <is>
          <t>Epotal 3675</t>
        </is>
      </c>
      <c r="BW47" s="118" t="inlineStr">
        <is>
          <t>TIPA 312 MET</t>
        </is>
      </c>
      <c r="BX47" t="n">
        <v>25</v>
      </c>
      <c r="BZ47">
        <f>IF(BU47&lt;&gt;"",BU47,BZ46)</f>
        <v/>
      </c>
      <c r="CC47">
        <f>IF(BV47&lt;&gt;"",BV47,CC46)</f>
        <v/>
      </c>
    </row>
    <row r="48" ht="16.5" customHeight="1" s="430" thickBot="1" thickTop="1">
      <c r="AV48" s="2" t="n">
        <v>923</v>
      </c>
      <c r="AW48" s="118" t="inlineStr">
        <is>
          <t>NK</t>
        </is>
      </c>
      <c r="AX48" t="inlineStr">
        <is>
          <t>Futamura</t>
        </is>
      </c>
      <c r="BW48" s="118" t="inlineStr">
        <is>
          <t>RM G Epotal ECO 3675</t>
        </is>
      </c>
      <c r="BX48">
        <f>6</f>
        <v/>
      </c>
      <c r="BZ48">
        <f>IF(BU48&lt;&gt;"",BU48,BZ47)</f>
        <v/>
      </c>
      <c r="CC48">
        <f>IF(BV48&lt;&gt;"",BV48,CC47)</f>
        <v/>
      </c>
    </row>
    <row r="49" ht="15.75" customHeight="1" s="430" thickTop="1">
      <c r="AV49" s="2" t="n">
        <v>923</v>
      </c>
      <c r="AW49" s="118" t="inlineStr">
        <is>
          <t>TIPA 312 MET</t>
        </is>
      </c>
      <c r="AX49" t="inlineStr">
        <is>
          <t>Metallized</t>
        </is>
      </c>
      <c r="BU49" s="618" t="n">
        <v>918</v>
      </c>
      <c r="BV49" s="618" t="n">
        <v>51</v>
      </c>
      <c r="BW49" s="347" t="inlineStr">
        <is>
          <t>NK</t>
        </is>
      </c>
      <c r="BX49" s="348" t="n">
        <v>23</v>
      </c>
      <c r="BY49" s="618">
        <f>SUM(BX49:BX52)</f>
        <v/>
      </c>
      <c r="BZ49">
        <f>IF(BU49&lt;&gt;"",BU49,BZ48)</f>
        <v/>
      </c>
      <c r="CC49">
        <f>IF(BV49&lt;&gt;"",BV49,CC48)</f>
        <v/>
      </c>
    </row>
    <row r="50">
      <c r="AV50" s="2" t="n">
        <v>923</v>
      </c>
      <c r="AW50" s="118" t="inlineStr">
        <is>
          <t>Billerud Kraft White Paper</t>
        </is>
      </c>
      <c r="AX50" t="inlineStr">
        <is>
          <t>Paper</t>
        </is>
      </c>
      <c r="AY50" s="122" t="n"/>
      <c r="BR50" s="49" t="n"/>
      <c r="BW50" s="118" t="inlineStr">
        <is>
          <t>TIPA 312 MET</t>
        </is>
      </c>
      <c r="BX50" t="n">
        <v>25</v>
      </c>
      <c r="BZ50">
        <f>IF(BU50&lt;&gt;"",BU50,BZ49)</f>
        <v/>
      </c>
      <c r="CC50">
        <f>IF(BV50&lt;&gt;"",BV50,CC49)</f>
        <v/>
      </c>
    </row>
    <row r="51">
      <c r="AV51" s="2" t="n">
        <v>923</v>
      </c>
      <c r="AW51" t="inlineStr">
        <is>
          <t>RM G Epotal Eco 3702</t>
        </is>
      </c>
      <c r="AX51" t="inlineStr">
        <is>
          <t>Adhesive</t>
        </is>
      </c>
      <c r="AY51" s="121" t="inlineStr">
        <is>
          <t>Epotal 3702</t>
        </is>
      </c>
      <c r="BW51" t="inlineStr">
        <is>
          <t>RM G Epotal Eco 3702</t>
        </is>
      </c>
      <c r="BX51" t="n">
        <v>2.91</v>
      </c>
      <c r="BZ51">
        <f>IF(BU51&lt;&gt;"",BU51,BZ50)</f>
        <v/>
      </c>
      <c r="CC51">
        <f>IF(BV51&lt;&gt;"",BV51,CC50)</f>
        <v/>
      </c>
    </row>
    <row r="52" ht="15.75" customHeight="1" s="430" thickBot="1">
      <c r="AV52" s="351" t="n">
        <v>923</v>
      </c>
      <c r="AW52" s="119" t="inlineStr">
        <is>
          <t>RM G Basonat HW 2270</t>
        </is>
      </c>
      <c r="AX52" s="119" t="inlineStr">
        <is>
          <t>Hardener</t>
        </is>
      </c>
      <c r="AY52" s="120" t="inlineStr">
        <is>
          <t>Basonat</t>
        </is>
      </c>
      <c r="BU52" s="119" t="n"/>
      <c r="BV52" s="119" t="n"/>
      <c r="BW52" s="119" t="inlineStr">
        <is>
          <t>RM G Basonat HW 2270</t>
        </is>
      </c>
      <c r="BX52" s="119" t="n">
        <v>0.09</v>
      </c>
      <c r="BY52" s="119" t="n"/>
      <c r="BZ52">
        <f>IF(BU52&lt;&gt;"",BU52,BZ51)</f>
        <v/>
      </c>
      <c r="CC52">
        <f>IF(BV52&lt;&gt;"",BV52,CC51)</f>
        <v/>
      </c>
    </row>
    <row r="53" ht="15.75" customHeight="1" s="430" thickTop="1">
      <c r="BU53" s="618" t="n">
        <v>928</v>
      </c>
      <c r="BV53" s="618" t="n">
        <v>79</v>
      </c>
      <c r="BW53" s="347" t="inlineStr">
        <is>
          <t>NK</t>
        </is>
      </c>
      <c r="BX53" s="348" t="n">
        <v>23</v>
      </c>
      <c r="BY53" s="618">
        <f>SUM(BX53:BX56)</f>
        <v/>
      </c>
      <c r="BZ53">
        <f>IF(BU53&lt;&gt;"",BU53,BZ52)</f>
        <v/>
      </c>
      <c r="CC53">
        <f>IF(BV53&lt;&gt;"",BV53,CC52)</f>
        <v/>
      </c>
    </row>
    <row r="54">
      <c r="BW54" s="118" t="inlineStr">
        <is>
          <t>TIPA 312 MET</t>
        </is>
      </c>
      <c r="BX54" t="n">
        <v>25</v>
      </c>
      <c r="BZ54">
        <f>IF(BU54&lt;&gt;"",BU54,BZ53)</f>
        <v/>
      </c>
      <c r="CC54">
        <f>IF(BV54&lt;&gt;"",BV54,CC53)</f>
        <v/>
      </c>
    </row>
    <row r="55">
      <c r="BW55" s="118" t="inlineStr">
        <is>
          <t>TIPA 312 MET</t>
        </is>
      </c>
      <c r="BX55" t="n">
        <v>25</v>
      </c>
      <c r="BZ55">
        <f>IF(BU55&lt;&gt;"",BU55,BZ54)</f>
        <v/>
      </c>
      <c r="CC55">
        <f>IF(BV55&lt;&gt;"",BV55,CC54)</f>
        <v/>
      </c>
    </row>
    <row r="56">
      <c r="BW56" s="118" t="inlineStr">
        <is>
          <t>RM G Epotal Eco 3702</t>
        </is>
      </c>
      <c r="BX56">
        <f>2.91*2</f>
        <v/>
      </c>
      <c r="BZ56">
        <f>IF(BU56&lt;&gt;"",BU56,BZ55)</f>
        <v/>
      </c>
      <c r="CC56">
        <f>IF(BV56&lt;&gt;"",BV56,CC55)</f>
        <v/>
      </c>
    </row>
    <row r="57" ht="15.75" customHeight="1" s="430" thickBot="1">
      <c r="BU57" s="119" t="n"/>
      <c r="BV57" s="119" t="n"/>
      <c r="BW57" s="119" t="inlineStr">
        <is>
          <t>RM G Basonat HW 2270</t>
        </is>
      </c>
      <c r="BX57" s="119">
        <f>6-BX56</f>
        <v/>
      </c>
      <c r="BY57" s="119" t="n"/>
      <c r="BZ57">
        <f>IF(BU57&lt;&gt;"",BU57,BZ56)</f>
        <v/>
      </c>
      <c r="CC57">
        <f>IF(BV57&lt;&gt;"",BV57,CC56)</f>
        <v/>
      </c>
    </row>
    <row r="58" ht="15.75" customHeight="1" s="430" thickTop="1">
      <c r="BU58" s="618" t="n">
        <v>819</v>
      </c>
      <c r="BV58" s="618" t="n">
        <v>121</v>
      </c>
      <c r="BW58" s="347" t="inlineStr">
        <is>
          <t>NK</t>
        </is>
      </c>
      <c r="BX58" s="348" t="n">
        <v>23</v>
      </c>
      <c r="BY58" s="618">
        <f>SUM(BX58:BX61)</f>
        <v/>
      </c>
      <c r="BZ58">
        <f>IF(BU58&lt;&gt;"",BU58,BZ57)</f>
        <v/>
      </c>
      <c r="CC58">
        <f>IF(BV58&lt;&gt;"",BV58,CC57)</f>
        <v/>
      </c>
    </row>
    <row r="59">
      <c r="BW59" t="inlineStr">
        <is>
          <t>TIPA 302FG</t>
        </is>
      </c>
      <c r="BX59" t="n">
        <v>25</v>
      </c>
      <c r="BZ59">
        <f>IF(BU59&lt;&gt;"",BU59,BZ58)</f>
        <v/>
      </c>
      <c r="CC59">
        <f>IF(BV59&lt;&gt;"",BV59,CC58)</f>
        <v/>
      </c>
    </row>
    <row r="60">
      <c r="BW60" s="118" t="inlineStr">
        <is>
          <t>Billerud Kraft White Paper</t>
        </is>
      </c>
      <c r="BX60" t="n">
        <v>67</v>
      </c>
      <c r="BZ60">
        <f>IF(BU60&lt;&gt;"",BU60,BZ59)</f>
        <v/>
      </c>
      <c r="CC60">
        <f>IF(BV60&lt;&gt;"",BV60,CC59)</f>
        <v/>
      </c>
    </row>
    <row r="61" ht="15.75" customHeight="1" s="430" thickBot="1">
      <c r="BU61" s="119" t="n"/>
      <c r="BV61" s="119" t="n"/>
      <c r="BW61" s="119" t="inlineStr">
        <is>
          <t>RM G Epotal ECO 3675</t>
        </is>
      </c>
      <c r="BX61" s="119" t="n">
        <v>6</v>
      </c>
      <c r="BY61" s="119" t="n"/>
      <c r="BZ61">
        <f>IF(BU61&lt;&gt;"",BU61,BZ60)</f>
        <v/>
      </c>
      <c r="CC61">
        <f>IF(BV61&lt;&gt;"",BV61,CC60)</f>
        <v/>
      </c>
    </row>
    <row r="62" ht="15.75" customHeight="1" s="430" thickTop="1">
      <c r="BU62" s="618" t="n">
        <v>919</v>
      </c>
      <c r="BV62" s="618" t="n">
        <v>121</v>
      </c>
      <c r="BW62" s="348" t="inlineStr">
        <is>
          <t>NK</t>
        </is>
      </c>
      <c r="BX62" s="348" t="n">
        <v>23</v>
      </c>
      <c r="BY62" s="618">
        <f>SUM(BX62:BX66)</f>
        <v/>
      </c>
      <c r="BZ62">
        <f>IF(BU62&lt;&gt;"",BU62,BZ61)</f>
        <v/>
      </c>
      <c r="CC62">
        <f>IF(BV62&lt;&gt;"",BV62,CC61)</f>
        <v/>
      </c>
    </row>
    <row r="63">
      <c r="BW63" t="inlineStr">
        <is>
          <t>TIPA 312 MFG</t>
        </is>
      </c>
      <c r="BX63" t="n">
        <v>25</v>
      </c>
      <c r="BZ63">
        <f>IF(BU63&lt;&gt;"",BU63,BZ62)</f>
        <v/>
      </c>
      <c r="CC63">
        <f>IF(BV63&lt;&gt;"",BV63,CC62)</f>
        <v/>
      </c>
    </row>
    <row r="64">
      <c r="BW64" t="inlineStr">
        <is>
          <t>Billerud Kraft White Paper</t>
        </is>
      </c>
      <c r="BX64" t="n">
        <v>67</v>
      </c>
      <c r="BZ64">
        <f>IF(BU64&lt;&gt;"",BU64,BZ63)</f>
        <v/>
      </c>
      <c r="CC64">
        <f>IF(BV64&lt;&gt;"",BV64,CC63)</f>
        <v/>
      </c>
    </row>
    <row r="65">
      <c r="BW65" s="118" t="inlineStr">
        <is>
          <t>RM G Epotal Eco 3702</t>
        </is>
      </c>
      <c r="BX65">
        <f>2.91*2</f>
        <v/>
      </c>
      <c r="BZ65">
        <f>IF(BU65&lt;&gt;"",BU65,BZ64)</f>
        <v/>
      </c>
      <c r="CC65">
        <f>IF(BV65&lt;&gt;"",BV65,CC64)</f>
        <v/>
      </c>
    </row>
    <row r="66" ht="15.75" customHeight="1" s="430" thickBot="1">
      <c r="BU66" s="119" t="n"/>
      <c r="BV66" s="119" t="n"/>
      <c r="BW66" s="119" t="inlineStr">
        <is>
          <t>RM G Basonat HW 2270</t>
        </is>
      </c>
      <c r="BX66" s="119">
        <f>6-BX65</f>
        <v/>
      </c>
      <c r="BY66" s="119" t="n"/>
      <c r="BZ66">
        <f>IF(BU66&lt;&gt;"",BU66,BZ65)</f>
        <v/>
      </c>
      <c r="CC66">
        <f>IF(BV66&lt;&gt;"",BV66,CC65)</f>
        <v/>
      </c>
    </row>
    <row r="67" ht="15.75" customHeight="1" s="430" thickTop="1">
      <c r="BU67" s="618" t="n">
        <v>823</v>
      </c>
      <c r="BV67" s="618" t="n">
        <v>121</v>
      </c>
      <c r="BW67" s="347" t="inlineStr">
        <is>
          <t>NK</t>
        </is>
      </c>
      <c r="BX67" s="348" t="n">
        <v>23</v>
      </c>
      <c r="BY67" s="619">
        <f>SUM(BX67:BX70)</f>
        <v/>
      </c>
      <c r="BZ67">
        <f>IF(BU67&lt;&gt;"",BU67,BZ66)</f>
        <v/>
      </c>
      <c r="CC67">
        <f>IF(BV67&lt;&gt;"",BV67,CC66)</f>
        <v/>
      </c>
    </row>
    <row r="68">
      <c r="BW68" s="118" t="inlineStr">
        <is>
          <t>TIPA 312 MET</t>
        </is>
      </c>
      <c r="BX68" t="n">
        <v>25</v>
      </c>
      <c r="BZ68">
        <f>IF(BU68&lt;&gt;"",BU68,BZ67)</f>
        <v/>
      </c>
      <c r="CC68">
        <f>IF(BV68&lt;&gt;"",BV68,CC67)</f>
        <v/>
      </c>
    </row>
    <row r="69">
      <c r="BW69" s="118" t="inlineStr">
        <is>
          <t>Billerud Kraft White Paper</t>
        </is>
      </c>
      <c r="BX69" t="n">
        <v>67</v>
      </c>
      <c r="BZ69">
        <f>IF(BU69&lt;&gt;"",BU69,BZ68)</f>
        <v/>
      </c>
      <c r="CC69">
        <f>IF(BV69&lt;&gt;"",BV69,CC68)</f>
        <v/>
      </c>
    </row>
    <row r="70" ht="15.75" customHeight="1" s="430" thickBot="1">
      <c r="BU70" s="119" t="n"/>
      <c r="BV70" s="119" t="n"/>
      <c r="BW70" s="119" t="inlineStr">
        <is>
          <t>RM G Epotal ECO 3675</t>
        </is>
      </c>
      <c r="BX70" s="119" t="n">
        <v>6</v>
      </c>
      <c r="BY70" s="119" t="n"/>
      <c r="BZ70">
        <f>IF(BU70&lt;&gt;"",BU70,BZ69)</f>
        <v/>
      </c>
      <c r="CC70">
        <f>IF(BV70&lt;&gt;"",BV70,CC69)</f>
        <v/>
      </c>
    </row>
    <row r="71" ht="15.75" customHeight="1" s="430" thickTop="1">
      <c r="BU71" s="618" t="n">
        <v>923</v>
      </c>
      <c r="BV71" s="618" t="n">
        <v>121</v>
      </c>
      <c r="BW71" s="347" t="inlineStr">
        <is>
          <t>NK</t>
        </is>
      </c>
      <c r="BX71" s="348" t="n">
        <v>23</v>
      </c>
      <c r="BY71" s="618">
        <f>SUM(BX71:BX75)</f>
        <v/>
      </c>
      <c r="BZ71">
        <f>IF(BU71&lt;&gt;"",BU71,BZ70)</f>
        <v/>
      </c>
      <c r="CC71">
        <f>IF(BV71&lt;&gt;"",BV71,CC70)</f>
        <v/>
      </c>
    </row>
    <row r="72">
      <c r="BW72" s="118" t="inlineStr">
        <is>
          <t>TIPA 312 MET</t>
        </is>
      </c>
      <c r="BX72" t="n">
        <v>25</v>
      </c>
      <c r="BZ72">
        <f>IF(BU72&lt;&gt;"",BU72,BZ71)</f>
        <v/>
      </c>
      <c r="CC72">
        <f>IF(BV72&lt;&gt;"",BV72,CC71)</f>
        <v/>
      </c>
    </row>
    <row r="73">
      <c r="BW73" s="118" t="inlineStr">
        <is>
          <t>Billerud Kraft White Paper</t>
        </is>
      </c>
      <c r="BX73" t="n">
        <v>67</v>
      </c>
      <c r="BZ73">
        <f>IF(BU73&lt;&gt;"",BU73,BZ72)</f>
        <v/>
      </c>
      <c r="CC73">
        <f>IF(BV73&lt;&gt;"",BV73,CC72)</f>
        <v/>
      </c>
    </row>
    <row r="74">
      <c r="BW74" t="inlineStr">
        <is>
          <t>RM G Epotal Eco 3702</t>
        </is>
      </c>
      <c r="BX74">
        <f>2.91*2</f>
        <v/>
      </c>
      <c r="BZ74">
        <f>IF(BU74&lt;&gt;"",BU74,BZ73)</f>
        <v/>
      </c>
      <c r="CC74">
        <f>IF(BV74&lt;&gt;"",BV74,CC73)</f>
        <v/>
      </c>
    </row>
    <row r="75" ht="15.75" customHeight="1" s="430" thickBot="1">
      <c r="BU75" s="119" t="n"/>
      <c r="BV75" s="119" t="n"/>
      <c r="BW75" s="119" t="inlineStr">
        <is>
          <t>RM G Basonat HW 2270</t>
        </is>
      </c>
      <c r="BX75" s="119">
        <f>6-BX74</f>
        <v/>
      </c>
      <c r="BY75" s="119" t="n"/>
      <c r="BZ75">
        <f>IF(BU75&lt;&gt;"",BU75,BZ74)</f>
        <v/>
      </c>
      <c r="CC75">
        <f>IF(BV75&lt;&gt;"",BV75,CC74)</f>
        <v/>
      </c>
    </row>
    <row r="76" ht="15.75" customHeight="1" s="430" thickTop="1"/>
    <row r="77"/>
    <row r="78"/>
    <row r="79"/>
  </sheetData>
  <autoFilter ref="AV1:AY51"/>
  <mergeCells count="61">
    <mergeCell ref="BV2:BV4"/>
    <mergeCell ref="BV49:BV52"/>
    <mergeCell ref="BV58:BV61"/>
    <mergeCell ref="BV71:BV75"/>
    <mergeCell ref="BU53:BU57"/>
    <mergeCell ref="BV23:BV25"/>
    <mergeCell ref="BV17:BV19"/>
    <mergeCell ref="BY62:BY66"/>
    <mergeCell ref="BV8:BV10"/>
    <mergeCell ref="AS1:AT1"/>
    <mergeCell ref="BU5:BU7"/>
    <mergeCell ref="BV32:BV34"/>
    <mergeCell ref="BV45:BV48"/>
    <mergeCell ref="BV38:BV40"/>
    <mergeCell ref="BV41:BV44"/>
    <mergeCell ref="BY71:BY75"/>
    <mergeCell ref="BU58:BU61"/>
    <mergeCell ref="BY45:BY48"/>
    <mergeCell ref="BY14:BY16"/>
    <mergeCell ref="BU67:BU70"/>
    <mergeCell ref="BU23:BU37"/>
    <mergeCell ref="BV53:BV57"/>
    <mergeCell ref="BU8:BU22"/>
    <mergeCell ref="BY11:BY13"/>
    <mergeCell ref="BV62:BV66"/>
    <mergeCell ref="AM1:AN1"/>
    <mergeCell ref="BY41:BY44"/>
    <mergeCell ref="BV14:BV16"/>
    <mergeCell ref="BY53:BY57"/>
    <mergeCell ref="BV5:BV7"/>
    <mergeCell ref="BV67:BV70"/>
    <mergeCell ref="BU62:BU66"/>
    <mergeCell ref="BU49:BU52"/>
    <mergeCell ref="BV35:BV37"/>
    <mergeCell ref="BV26:BV28"/>
    <mergeCell ref="BV20:BV22"/>
    <mergeCell ref="BH1:BI1"/>
    <mergeCell ref="BV29:BV31"/>
    <mergeCell ref="BU2:BU4"/>
    <mergeCell ref="BY29:BY31"/>
    <mergeCell ref="BY5:BY7"/>
    <mergeCell ref="BY20:BY22"/>
    <mergeCell ref="BU71:BU75"/>
    <mergeCell ref="BY2:BY4"/>
    <mergeCell ref="BY67:BY70"/>
    <mergeCell ref="BY49:BY52"/>
    <mergeCell ref="BY58:BY61"/>
    <mergeCell ref="BY32:BY34"/>
    <mergeCell ref="BU45:BU48"/>
    <mergeCell ref="BY26:BY28"/>
    <mergeCell ref="AF4:AF8"/>
    <mergeCell ref="AJ1:AK1"/>
    <mergeCell ref="BY23:BY25"/>
    <mergeCell ref="BY35:BY37"/>
    <mergeCell ref="BY17:BY19"/>
    <mergeCell ref="BA1:BB1"/>
    <mergeCell ref="BY8:BY10"/>
    <mergeCell ref="BU38:BU40"/>
    <mergeCell ref="BY38:BY40"/>
    <mergeCell ref="BV11:BV13"/>
    <mergeCell ref="BU41:BU44"/>
  </mergeCell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77"/>
  <sheetViews>
    <sheetView topLeftCell="A61" workbookViewId="0">
      <selection activeCell="A74" sqref="A74:A75"/>
    </sheetView>
  </sheetViews>
  <sheetFormatPr baseColWidth="8" defaultRowHeight="15"/>
  <cols>
    <col width="126" bestFit="1" customWidth="1" style="430" min="1" max="1"/>
  </cols>
  <sheetData>
    <row r="1">
      <c r="A1" s="54" t="inlineStr">
        <is>
          <t>Film Pricing</t>
        </is>
      </c>
    </row>
    <row r="2">
      <c r="A2" t="inlineStr">
        <is>
          <t>the way you built option there is no impact from density and thickness and need to be. fix</t>
        </is>
      </c>
    </row>
    <row r="4">
      <c r="A4" s="54" t="inlineStr">
        <is>
          <t>Bom</t>
        </is>
      </c>
    </row>
    <row r="5">
      <c r="A5" t="inlineStr">
        <is>
          <t xml:space="preserve">if there are additional lines in the BOM SHEET in Column A - new Film, please add it also to column L and Q and proceed with relevant calculation, </t>
        </is>
      </c>
    </row>
    <row r="6">
      <c r="A6" t="inlineStr">
        <is>
          <t>the data that already there in columns L &amp; Q make linked to A in case of addition or change.</t>
        </is>
      </c>
    </row>
    <row r="9">
      <c r="A9" s="54" t="inlineStr">
        <is>
          <t>3.6.2026</t>
        </is>
      </c>
    </row>
    <row r="10" ht="165" customHeight="1" s="430">
      <c r="A10" s="68" t="inlineStr">
        <is>
          <t>pricing model continue: 1. BOM sheet: a. connect between column A , column L &amp; column Q. if there willbe new Film in column A, need to be updated in column L &amp; column Q as well accordingly. all the calculations need to be updated also, need to be dynamic. 2. Film Pricing sheet: Film type in the tables line 3 to 17 &amp; line 23 to 37 need to be linked to BOM SHEET - table column Q to R: a. lines 1-17 : films that need to go there are those that starts with TIPA. all the prices need to be part of the table in a calculation on column L - RM cost in 1 Kg, according to column A. at this point not all lines are filled , leave them empty with working formulas for future. need to be dynamic. a. lines 23-37 : films that need to go there are those that not starts with TIPA. all the prices need to be part of the table in a calculation on column L - RM cost in 1 Kg, according to column A. at this point not all lines are filled , leave them empty with working formulas for future.need to be dynamic. all need to be with formulas and not values. diagram and steps. in additional sheet named Diagram and steps- create diagram and step by step process how to use the data in all sheets - make very looking friendly. add an example in the below table in the sheet Diagram and steps please add a improvement suggestions like comparisons between films, with benefits and less good things. add an example. go</t>
        </is>
      </c>
    </row>
    <row r="13">
      <c r="A13" t="inlineStr">
        <is>
          <t>4.6.2026</t>
        </is>
      </c>
    </row>
    <row r="14" ht="115.5" customHeight="1" s="430">
      <c r="A14" s="100" t="inlineStr">
        <is>
          <t>continuing pricing model: Film Pricing sheet: in the depreciation column (column N in both tables- from row 3 to 17 and from row 23 to 37 create a formula as following : take the weight from column I, and check what is the Total Kg Produced calculated there. then go to the HELPER sheet- in the HELPER sheet , there is a table- column AL- AM. write the depreciation according to this. example: if the Total Kg Produced is 500KG or less - depreciation is 25%, if more than 500 but equal or less than 1000kg- depreciation is, 20%, and so goes on. second thing: go to BOM sheet column H. under each extruder listed in column B there is a quantity written manually in column H. do a conditional formatting there: if total percentage is more then 0% but less 100%, mark the cell bright red. if equal to 100%- mark bright green. if nothing filled in- equal to 0 - leave without any formatting.</t>
        </is>
      </c>
    </row>
    <row r="16">
      <c r="A16" t="inlineStr">
        <is>
          <t>7.60.2026-1</t>
        </is>
      </c>
    </row>
    <row r="17">
      <c r="A17" t="inlineStr">
        <is>
          <t xml:space="preserve">Pricing mdel continue: </t>
        </is>
      </c>
    </row>
    <row r="18">
      <c r="A18" t="inlineStr">
        <is>
          <t xml:space="preserve">Laminates sheet: </t>
        </is>
      </c>
    </row>
    <row r="19">
      <c r="A19" t="inlineStr">
        <is>
          <t xml:space="preserve">1.column G need to be dependent on column F. If I choose not printed in column F from dropdown list, result in column G- number of paints - need to be 0. If I choose printed in column F from dropdown list, result in column G- can be chosen manualy. </t>
        </is>
      </c>
    </row>
    <row r="20">
      <c r="A20" t="inlineStr">
        <is>
          <t xml:space="preserve">2. Column L- row material cost- need to be linked to fim pricing sheet relevant data &amp; helper sheet as well , eventualy the cost for row material based on films that appear in the Film Pricing &amp; materials that appear in the HELPER sheet price. </t>
        </is>
      </c>
    </row>
    <row r="21">
      <c r="A21" t="inlineStr">
        <is>
          <t>3.HELPER sheet- I added additional column AP , so all columns moved, checked please that everting is works properly and accordingly.</t>
        </is>
      </c>
    </row>
    <row r="22">
      <c r="A22" t="inlineStr">
        <is>
          <t>4. Laminates sheet column J- please fill according to the name of the appearing in the laminate structure in column B , while tthe density measure in the HELPER sheet column AO &amp; AP. the missing ones measure will appear later, but names need to be linked as well.</t>
        </is>
      </c>
    </row>
    <row r="23">
      <c r="A23" t="inlineStr">
        <is>
          <t>5. check all the formaulas that work fine.</t>
        </is>
      </c>
    </row>
    <row r="24">
      <c r="A24" t="inlineStr">
        <is>
          <t xml:space="preserve">6. Laminates sheet- Lemination Width (mm) column H need to be added 50mm to the appear in the column C but only for Laminates- the name of films that appear in column B. the list of the films can be seen in the HELPER sheet in column AO. </t>
        </is>
      </c>
    </row>
    <row r="25">
      <c r="A25" t="inlineStr">
        <is>
          <t>7. Laminates sheet column B- as you can see there is a dropdown list of films/ adhesives that depends on name of laminate that appear in column A. in each one there are blank lines - in case that the ingredients of laminate will change. please built a conditional formating for the rows that at this pont remain blank. for example: for 918 laminatethere are 4 ingredients in column B - appear in rows 3-6 . and to blanks- 7-8, so please do a conditional formating- collored bright grey. if I will change to another laminate, another lines will be blank, and need to be changed accordingly. if there is no filled name of the laminate , in column A- the conditional formating in B need to remain blank untill Laminate will be filled.</t>
        </is>
      </c>
    </row>
    <row r="26">
      <c r="A26" t="inlineStr">
        <is>
          <t>check all the formulas, add the steps that missing from the diagram and steps sheet including exapmpes and explanations as before.</t>
        </is>
      </c>
    </row>
    <row r="28">
      <c r="A28" t="inlineStr">
        <is>
          <t>7.60.2026-2</t>
        </is>
      </c>
    </row>
    <row r="29">
      <c r="A29" t="inlineStr">
        <is>
          <t>Laminates sheet-</t>
        </is>
      </c>
    </row>
    <row r="30">
      <c r="A30" t="inlineStr">
        <is>
          <t>1. looks like conditional formating in column B doesnt work- there is a name of the laminate in column A, laminate structure is filled by films rows 3-7, but the blanc line number 8 isnt bright rey as needed. please check for all lines tha need to work according to this logic in previous prompt.</t>
        </is>
      </c>
    </row>
    <row r="31">
      <c r="A31" t="inlineStr">
        <is>
          <t xml:space="preserve">2. in this laminate please move the table two columns Right so Laminate column need to be in column c instead of A and so on. </t>
        </is>
      </c>
    </row>
    <row r="32">
      <c r="A32" t="inlineStr">
        <is>
          <t xml:space="preserve">in column A add a dropdown list that you can see in helper sheet column BC. for each laminate I need to choose from dropdown list which measure to use, in column A add the column with header amount where manually I will write the ammount needed. </t>
        </is>
      </c>
    </row>
    <row r="33">
      <c r="A33" t="inlineStr">
        <is>
          <t xml:space="preserve">check that all formiulas werent messed up during to those columns movements. </t>
        </is>
      </c>
    </row>
    <row r="34">
      <c r="A34" t="inlineStr">
        <is>
          <t>see the logic of calculation for in sheet Laminate for reels - Sales for Laminate length (m) width asked. use same logic for calculation for Laminate length (m) width asked in sheet Laminates. dont use any data from sheet Laminate for reels - Sales, only understand the strategy.</t>
        </is>
      </c>
    </row>
    <row r="35">
      <c r="A35" t="inlineStr">
        <is>
          <t>the number that filled in H1 CELL IN THE SHEET Laminate for reels - Sales is the number that will be filled in sheet Laminates- column B with header amount.</t>
        </is>
      </c>
    </row>
    <row r="36">
      <c r="A36" t="inlineStr">
        <is>
          <t>go</t>
        </is>
      </c>
    </row>
    <row r="39" ht="30" customHeight="1" s="430">
      <c r="A39" s="68" t="inlineStr">
        <is>
          <t>if Laminate length (m) width asked in Laminate sheet is between the numbers that appear in the Lmntn &amp; Prntng- Marma &amp; Bastin sheet table in header line, you choose accordingly. for example if 6590, you take from column E:3K-10K, and so on.</t>
        </is>
      </c>
    </row>
    <row r="40">
      <c r="A40" s="68" t="inlineStr">
        <is>
          <t>affocarse pay attention to all parameters I wrote before rgarding rows.</t>
        </is>
      </c>
    </row>
    <row r="42">
      <c r="A42" t="inlineStr">
        <is>
          <t>14.06.2026</t>
        </is>
      </c>
    </row>
    <row r="44">
      <c r="A44" t="inlineStr">
        <is>
          <t xml:space="preserve">create calculator: in the film pricing sheet, if it possible, make it look like real calculator ( 3d and all). </t>
        </is>
      </c>
    </row>
    <row r="45">
      <c r="A45" t="inlineStr">
        <is>
          <t>crerate 5 calculators - one next to another, when each one is linked to the table starting column A to V</t>
        </is>
      </c>
    </row>
    <row r="46">
      <c r="A46" t="inlineStr">
        <is>
          <t>the relevant fields THAT NEED TO BE THERE ARE ALL FIELDS THAT NOT BEING CALCULATED AND INSERTED MANUALY.</t>
        </is>
      </c>
    </row>
    <row r="47">
      <c r="A47" t="inlineStr">
        <is>
          <t>1. Film Type</t>
        </is>
      </c>
    </row>
    <row r="48">
      <c r="A48" t="inlineStr">
        <is>
          <t>2.Width</t>
        </is>
      </c>
    </row>
    <row r="49">
      <c r="A49" t="inlineStr">
        <is>
          <t>3.thickness.</t>
        </is>
      </c>
    </row>
    <row r="50">
      <c r="A50" t="inlineStr">
        <is>
          <t>4. Density</t>
        </is>
      </c>
    </row>
    <row r="51">
      <c r="A51" t="inlineStr">
        <is>
          <t>5. weight ( or overweight- uuse same logic like in the table).</t>
        </is>
      </c>
    </row>
    <row r="52">
      <c r="A52" t="inlineStr">
        <is>
          <t>6.length- same logic connection like in the table.</t>
        </is>
      </c>
    </row>
    <row r="53">
      <c r="A53" t="inlineStr">
        <is>
          <t>7. hourly rate.</t>
        </is>
      </c>
    </row>
    <row r="54">
      <c r="A54" t="inlineStr">
        <is>
          <t>8. shipping destination</t>
        </is>
      </c>
    </row>
    <row r="55">
      <c r="A55" t="inlineStr">
        <is>
          <t>9. margin ( need to be on the top of each calculator)</t>
        </is>
      </c>
    </row>
    <row r="56">
      <c r="A56" t="inlineStr">
        <is>
          <t>Sell Price ( is the final result)</t>
        </is>
      </c>
    </row>
    <row r="58">
      <c r="A58" t="inlineStr">
        <is>
          <t>it need to work that every thing that being choosed in the calculators from the dropdown list- check the drpodown that work properly and show numbers and not formulas)- will appear in relevant to each calculator raw in the table row 3- 7.</t>
        </is>
      </c>
    </row>
    <row r="59">
      <c r="A59" t="inlineStr">
        <is>
          <t>but, the total number supposed to come from the table itself and to go to the relevant calculator from each relevan line in the table</t>
        </is>
      </c>
    </row>
    <row r="60">
      <c r="A60" t="inlineStr">
        <is>
          <t>all margin connect to T1 at this point</t>
        </is>
      </c>
    </row>
    <row r="61">
      <c r="A61" t="inlineStr">
        <is>
          <t>​‌</t>
        </is>
      </c>
    </row>
    <row r="63" ht="66" customHeight="1" s="430">
      <c r="A63" s="100" t="inlineStr">
        <is>
          <t>looks ok, just one problem. it need to take from the calculator and put the data in the table, you did oposit way. the only data that is coming from the table to the calculator is total cost additional point- reagarding margin . disconnect it from the table. for each calculator it need to be separately like you did, but the sell price need to include the margin as percentage from the total cost + total cost (that comes from table) will bring sell price please fix</t>
        </is>
      </c>
    </row>
    <row r="65">
      <c r="A65" t="inlineStr">
        <is>
          <t>16.06.2026</t>
        </is>
      </c>
    </row>
    <row r="66">
      <c r="A66" t="inlineStr">
        <is>
          <t xml:space="preserve">Please assist with the following: </t>
        </is>
      </c>
    </row>
    <row r="67">
      <c r="A67" t="inlineStr">
        <is>
          <t xml:space="preserve">in the sheet Laminates: </t>
        </is>
      </c>
    </row>
    <row r="68">
      <c r="A68" t="inlineStr">
        <is>
          <t xml:space="preserve">thickness of the films (column K) that appear under Laminate structure (column D) needs to be like this: </t>
        </is>
      </c>
    </row>
    <row r="69">
      <c r="A69" t="inlineStr">
        <is>
          <t>1. NK- always 23 mic</t>
        </is>
      </c>
    </row>
    <row r="70">
      <c r="A70" t="inlineStr">
        <is>
          <t>2. TIPA 312 MET- 25 mic</t>
        </is>
      </c>
    </row>
    <row r="71">
      <c r="A71" t="n">
        <v>3</v>
      </c>
    </row>
    <row r="73">
      <c r="A73" t="inlineStr">
        <is>
          <t>18.06.2026</t>
        </is>
      </c>
    </row>
    <row r="74">
      <c r="A74" t="inlineStr">
        <is>
          <t>for each of the calculators add margin option on the top- like you did in the calculator in Film Pricing sheet. the claculation also need to be same as there - added as a percentage of total cost- an added to this as a sell price</t>
        </is>
      </c>
    </row>
    <row r="75">
      <c r="A75" t="inlineStr">
        <is>
          <t>under that need to be sell price in USD- based on exchange rate in helper sheet columns AJ- AK.</t>
        </is>
      </c>
    </row>
    <row r="77">
      <c r="A77" t="inlineStr">
        <is>
          <t xml:space="preserve">FOR THE CALCULATION OF TOTAL COST- NEED TO COME FROM THE TABLE IN Laminates SHEET . TOTAL COST IS </t>
        </is>
      </c>
    </row>
  </sheetData>
  <pageMargins left="0.7" right="0.7" top="0.75" bottom="0.75" header="0.3" footer="0.3"/>
</worksheet>
</file>

<file path=xl/worksheets/sheet10.xml><?xml version="1.0" encoding="utf-8"?>
<worksheet xmlns="http://schemas.openxmlformats.org/spreadsheetml/2006/main">
  <sheetPr>
    <tabColor rgb="FFFFFF00"/>
    <outlinePr summaryBelow="1" summaryRight="1"/>
    <pageSetUpPr/>
  </sheetPr>
  <dimension ref="A1:J17"/>
  <sheetViews>
    <sheetView workbookViewId="0">
      <selection activeCell="E4" sqref="E4"/>
    </sheetView>
  </sheetViews>
  <sheetFormatPr baseColWidth="8" defaultRowHeight="15"/>
  <cols>
    <col width="16" bestFit="1" customWidth="1" style="430" min="1" max="1"/>
    <col width="17.7109375" bestFit="1" customWidth="1" style="430" min="2" max="2"/>
    <col width="17.5703125" bestFit="1" customWidth="1" style="430" min="3" max="4"/>
    <col width="26.140625" bestFit="1" customWidth="1" style="430" min="5" max="5"/>
    <col width="11.85546875" bestFit="1" customWidth="1" style="430" min="6" max="6"/>
    <col width="22.140625" bestFit="1" customWidth="1" style="430" min="7" max="7"/>
    <col width="10.28515625" bestFit="1" customWidth="1" style="430" min="8" max="8"/>
  </cols>
  <sheetData>
    <row r="1">
      <c r="A1" s="1" t="inlineStr">
        <is>
          <t>Material</t>
        </is>
      </c>
      <c r="B1" s="1" t="inlineStr">
        <is>
          <t>Grade</t>
        </is>
      </c>
      <c r="C1" s="1" t="inlineStr">
        <is>
          <t>Serial Number</t>
        </is>
      </c>
      <c r="D1" s="1" t="inlineStr">
        <is>
          <t>Resin</t>
        </is>
      </c>
      <c r="E1" s="1" t="inlineStr">
        <is>
          <t>Price (€/kg) as I have today</t>
        </is>
      </c>
      <c r="F1" s="1" t="inlineStr">
        <is>
          <t>Buying price</t>
        </is>
      </c>
      <c r="G1" s="1" t="inlineStr">
        <is>
          <t>Shipment costs -EU</t>
        </is>
      </c>
      <c r="H1" s="1" t="inlineStr">
        <is>
          <t>Duty Costs</t>
        </is>
      </c>
      <c r="I1" s="1" t="inlineStr">
        <is>
          <t>Currency</t>
        </is>
      </c>
      <c r="J1" s="1" t="inlineStr">
        <is>
          <t>Remarks</t>
        </is>
      </c>
    </row>
    <row r="2">
      <c r="A2" t="inlineStr">
        <is>
          <t>PLA</t>
        </is>
      </c>
      <c r="B2" t="inlineStr">
        <is>
          <t>LX175</t>
        </is>
      </c>
      <c r="C2" t="inlineStr">
        <is>
          <t>RMLX175</t>
        </is>
      </c>
      <c r="D2" t="inlineStr">
        <is>
          <t>Resin 1A</t>
        </is>
      </c>
      <c r="E2" s="2" t="n">
        <v>2.86</v>
      </c>
      <c r="J2" s="121" t="n"/>
    </row>
    <row r="3">
      <c r="A3" t="inlineStr">
        <is>
          <t>PLA</t>
        </is>
      </c>
      <c r="B3" t="inlineStr">
        <is>
          <t>N43</t>
        </is>
      </c>
      <c r="C3" t="inlineStr">
        <is>
          <t>RMN43</t>
        </is>
      </c>
      <c r="D3" t="inlineStr">
        <is>
          <t>Resin 1B</t>
        </is>
      </c>
      <c r="E3" s="2" t="n">
        <v>3.39</v>
      </c>
      <c r="J3" s="121" t="n"/>
    </row>
    <row r="4">
      <c r="A4" t="inlineStr">
        <is>
          <t>PBAT</t>
        </is>
      </c>
      <c r="B4" t="inlineStr">
        <is>
          <t>B12</t>
        </is>
      </c>
      <c r="C4" t="inlineStr">
        <is>
          <t>RMB12</t>
        </is>
      </c>
      <c r="D4" t="inlineStr">
        <is>
          <t>Resin 2A</t>
        </is>
      </c>
      <c r="E4" s="2" t="n">
        <v>2.75</v>
      </c>
      <c r="J4" s="121" t="n"/>
    </row>
    <row r="5">
      <c r="A5" t="inlineStr">
        <is>
          <t>PBAT</t>
        </is>
      </c>
      <c r="B5" t="inlineStr">
        <is>
          <t>Jin-Eco</t>
        </is>
      </c>
      <c r="C5" t="inlineStr">
        <is>
          <t>RM ECO</t>
        </is>
      </c>
      <c r="D5" t="inlineStr">
        <is>
          <t>Resin 2B</t>
        </is>
      </c>
      <c r="E5" s="2" t="n">
        <v>4.2</v>
      </c>
      <c r="J5" s="121" t="n"/>
    </row>
    <row r="6">
      <c r="A6" t="inlineStr">
        <is>
          <t>PBAT</t>
        </is>
      </c>
      <c r="B6" t="inlineStr">
        <is>
          <t>TH801T</t>
        </is>
      </c>
      <c r="C6" t="inlineStr">
        <is>
          <t>RMT801</t>
        </is>
      </c>
      <c r="D6" t="inlineStr">
        <is>
          <t>Resin 2C</t>
        </is>
      </c>
      <c r="E6" s="2" t="n">
        <v>1.81</v>
      </c>
      <c r="J6" s="121" t="n"/>
    </row>
    <row r="7">
      <c r="A7" t="inlineStr">
        <is>
          <t>PBS</t>
        </is>
      </c>
      <c r="B7" t="inlineStr">
        <is>
          <t>A200</t>
        </is>
      </c>
      <c r="C7" t="inlineStr">
        <is>
          <t>RMA200</t>
        </is>
      </c>
      <c r="D7" t="inlineStr">
        <is>
          <t>TBD</t>
        </is>
      </c>
      <c r="E7" s="2" t="n">
        <v>7.62</v>
      </c>
      <c r="J7" s="121" t="n"/>
    </row>
    <row r="8">
      <c r="A8" t="inlineStr">
        <is>
          <t>PCL</t>
        </is>
      </c>
      <c r="B8" t="inlineStr">
        <is>
          <t>P65D</t>
        </is>
      </c>
      <c r="C8" t="inlineStr">
        <is>
          <t>RMP65D</t>
        </is>
      </c>
      <c r="D8" t="inlineStr">
        <is>
          <t>Resin 4A</t>
        </is>
      </c>
      <c r="E8" s="2" t="n">
        <v>5.35</v>
      </c>
      <c r="J8" s="121" t="n"/>
    </row>
    <row r="9">
      <c r="A9" t="inlineStr">
        <is>
          <t>AO-PBS</t>
        </is>
      </c>
      <c r="B9" t="inlineStr">
        <is>
          <t>S723</t>
        </is>
      </c>
      <c r="C9" t="inlineStr">
        <is>
          <t>RM TA45-08 S723</t>
        </is>
      </c>
      <c r="D9" t="inlineStr">
        <is>
          <t>Resin 6</t>
        </is>
      </c>
      <c r="E9" s="2" t="n">
        <v>16</v>
      </c>
      <c r="J9" s="121" t="n"/>
    </row>
    <row r="10">
      <c r="A10" t="inlineStr">
        <is>
          <t>SLAB-PBSA</t>
        </is>
      </c>
      <c r="B10" t="inlineStr">
        <is>
          <t>S724</t>
        </is>
      </c>
      <c r="C10" t="inlineStr">
        <is>
          <t>RM TA45-08 S724</t>
        </is>
      </c>
      <c r="D10" t="inlineStr">
        <is>
          <t>Resin 7</t>
        </is>
      </c>
      <c r="E10" s="2" t="n">
        <v>14.7</v>
      </c>
      <c r="J10" s="121" t="n"/>
    </row>
    <row r="11">
      <c r="A11" t="inlineStr">
        <is>
          <t>AB-PLA</t>
        </is>
      </c>
      <c r="B11" t="inlineStr">
        <is>
          <t>KAB59A</t>
        </is>
      </c>
      <c r="C11" t="inlineStr">
        <is>
          <t>RM A KAB59A</t>
        </is>
      </c>
      <c r="D11" t="inlineStr">
        <is>
          <t>Resin 8</t>
        </is>
      </c>
      <c r="E11" s="2" t="n">
        <v>7.55</v>
      </c>
      <c r="J11" s="121" t="n"/>
    </row>
    <row r="12">
      <c r="A12" t="inlineStr">
        <is>
          <t>PVOH</t>
        </is>
      </c>
      <c r="B12" t="inlineStr">
        <is>
          <t>BVE8049P</t>
        </is>
      </c>
      <c r="C12" t="inlineStr">
        <is>
          <t>BVE8049P</t>
        </is>
      </c>
      <c r="D12" t="inlineStr">
        <is>
          <t>BVE8049P</t>
        </is>
      </c>
      <c r="E12" s="2" t="n">
        <v>18.5</v>
      </c>
      <c r="J12" s="121" t="n"/>
    </row>
    <row r="13">
      <c r="A13" t="inlineStr">
        <is>
          <t>PBSA</t>
        </is>
      </c>
      <c r="B13" t="inlineStr">
        <is>
          <t>FD92PM</t>
        </is>
      </c>
      <c r="C13" t="inlineStr">
        <is>
          <t>RMPM2</t>
        </is>
      </c>
      <c r="D13" t="inlineStr">
        <is>
          <t>Resin 9C</t>
        </is>
      </c>
      <c r="E13" s="2" t="n">
        <v>5.75</v>
      </c>
      <c r="J13" s="121" t="n"/>
    </row>
    <row r="14">
      <c r="A14" t="inlineStr">
        <is>
          <t>ECOMP WHITE</t>
        </is>
      </c>
      <c r="B14" t="inlineStr">
        <is>
          <t>RM WHITE BIO8153</t>
        </is>
      </c>
      <c r="C14" t="inlineStr">
        <is>
          <t>RM WHITE BIO8153</t>
        </is>
      </c>
      <c r="D14" t="inlineStr">
        <is>
          <t>Resin 13B</t>
        </is>
      </c>
      <c r="E14" s="2" t="n">
        <v>5.78</v>
      </c>
      <c r="J14" s="121" t="n"/>
    </row>
    <row r="17">
      <c r="E17" s="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2:N22"/>
  <sheetViews>
    <sheetView workbookViewId="0">
      <selection activeCell="D28" sqref="D28"/>
    </sheetView>
  </sheetViews>
  <sheetFormatPr baseColWidth="8" defaultRowHeight="15"/>
  <cols>
    <col width="9.5703125" bestFit="1" customWidth="1" style="430" min="1" max="1"/>
    <col width="35.7109375" bestFit="1" customWidth="1" style="430" min="2" max="2"/>
    <col width="33.140625" bestFit="1" customWidth="1" style="430" min="3" max="3"/>
    <col width="38.85546875" bestFit="1" customWidth="1" style="430" min="4" max="4"/>
    <col width="16.7109375" bestFit="1" customWidth="1" style="430" min="5" max="5"/>
    <col width="14.42578125" bestFit="1" customWidth="1" style="430" min="6" max="6"/>
    <col width="10.85546875" bestFit="1" customWidth="1" style="430" min="7" max="8"/>
    <col width="12.5703125" bestFit="1" customWidth="1" style="430" min="9" max="9"/>
    <col width="10.42578125" bestFit="1" customWidth="1" style="430" min="10" max="11"/>
    <col width="15.5703125" bestFit="1" customWidth="1" style="430" min="13" max="13"/>
    <col width="38.85546875" bestFit="1" customWidth="1" style="430" min="14" max="14"/>
    <col width="14.42578125" bestFit="1" customWidth="1" style="430" min="15" max="15"/>
    <col width="11.140625" customWidth="1" style="430" min="16" max="20"/>
    <col width="9.42578125" bestFit="1" customWidth="1" style="430" min="21" max="21"/>
  </cols>
  <sheetData>
    <row r="2">
      <c r="A2" s="129" t="inlineStr">
        <is>
          <t>Supplier</t>
        </is>
      </c>
      <c r="B2" s="129" t="inlineStr">
        <is>
          <t>Width</t>
        </is>
      </c>
      <c r="C2" s="129" t="inlineStr">
        <is>
          <t>Per film cost costs:</t>
        </is>
      </c>
      <c r="D2" s="130" t="inlineStr">
        <is>
          <t>up to 3k Meters (*) ( **)</t>
        </is>
      </c>
      <c r="E2" s="130" t="inlineStr">
        <is>
          <t>3-10k</t>
        </is>
      </c>
      <c r="F2" s="130" t="inlineStr">
        <is>
          <t>10-25k</t>
        </is>
      </c>
      <c r="G2" s="130" t="inlineStr">
        <is>
          <t>25k-50k</t>
        </is>
      </c>
      <c r="H2" s="130" t="inlineStr">
        <is>
          <t>50-100k</t>
        </is>
      </c>
      <c r="I2" s="130" t="inlineStr">
        <is>
          <t>100-250k</t>
        </is>
      </c>
      <c r="J2" s="130" t="inlineStr">
        <is>
          <t>250-500k</t>
        </is>
      </c>
      <c r="K2" s="130" t="inlineStr">
        <is>
          <t>500k+</t>
        </is>
      </c>
      <c r="M2" s="54" t="inlineStr">
        <is>
          <t>Important notes</t>
        </is>
      </c>
    </row>
    <row r="3">
      <c r="A3" s="497" t="inlineStr">
        <is>
          <t>Marma</t>
        </is>
      </c>
      <c r="B3" s="166" t="inlineStr">
        <is>
          <t>linear meters (760 width)- EUR/m</t>
        </is>
      </c>
      <c r="C3" s="167" t="inlineStr">
        <is>
          <t>Lamination First pass (120 m/m)</t>
        </is>
      </c>
      <c r="D3" s="620" t="n">
        <v>0.11673</v>
      </c>
      <c r="E3" s="620" t="n">
        <v>0.10413</v>
      </c>
      <c r="F3" s="620" t="n">
        <v>0.09153</v>
      </c>
      <c r="G3" s="620" t="n">
        <v>0.08649</v>
      </c>
      <c r="H3" s="620" t="n">
        <v>0.08481</v>
      </c>
      <c r="I3" s="620" t="n">
        <v>0.08397</v>
      </c>
      <c r="J3" s="620" t="n">
        <v>0.08345999999999999</v>
      </c>
      <c r="K3" s="620" t="n">
        <v>0.08314000000000001</v>
      </c>
      <c r="M3" s="131" t="n">
        <v>1.3</v>
      </c>
      <c r="N3" s="121" t="inlineStr">
        <is>
          <t>Bastin prices are 30% higher than Marma for lamination</t>
        </is>
      </c>
    </row>
    <row r="4">
      <c r="A4" s="284" t="n"/>
      <c r="B4" s="166" t="inlineStr">
        <is>
          <t>linear meters (760 width)- EUR/m</t>
        </is>
      </c>
      <c r="C4" s="167" t="inlineStr">
        <is>
          <t>Printing (1-2 colors)***</t>
        </is>
      </c>
      <c r="D4" s="620" t="n">
        <v>0.19644</v>
      </c>
      <c r="E4" s="620" t="n">
        <v>0.15437</v>
      </c>
      <c r="F4" s="620" t="n">
        <v>0.11229</v>
      </c>
      <c r="G4" s="620" t="n">
        <v>0.09545999999999999</v>
      </c>
      <c r="H4" s="620" t="n">
        <v>0.08985</v>
      </c>
      <c r="I4" s="620" t="n">
        <v>0.08705</v>
      </c>
      <c r="J4" s="620" t="n">
        <v>0.08536000000000001</v>
      </c>
      <c r="K4" s="620" t="n">
        <v>0.0843</v>
      </c>
      <c r="M4" s="131" t="n">
        <v>1.5</v>
      </c>
      <c r="N4" s="121" t="inlineStr">
        <is>
          <t>Bastin prices are 50% higher than Marma for printing</t>
        </is>
      </c>
    </row>
    <row r="5">
      <c r="A5" s="284" t="n"/>
      <c r="B5" s="166" t="inlineStr">
        <is>
          <t>linear meters (760 width)- EUR/m</t>
        </is>
      </c>
      <c r="C5" s="167" t="inlineStr">
        <is>
          <t>Printing (3-4 colors)***</t>
        </is>
      </c>
      <c r="D5" s="620" t="n">
        <v>0.22742</v>
      </c>
      <c r="E5" s="620" t="n">
        <v>0.17702</v>
      </c>
      <c r="F5" s="620" t="n">
        <v>0.12662</v>
      </c>
      <c r="G5" s="620" t="n">
        <v>0.10646</v>
      </c>
      <c r="H5" s="620" t="n">
        <v>0.09974</v>
      </c>
      <c r="I5" s="620" t="n">
        <v>0.09637999999999999</v>
      </c>
      <c r="J5" s="620" t="n">
        <v>0.09436</v>
      </c>
      <c r="K5" s="620" t="n">
        <v>0.09309000000000001</v>
      </c>
    </row>
    <row r="6">
      <c r="A6" s="284" t="n"/>
      <c r="B6" s="166" t="inlineStr">
        <is>
          <t>linear meters (760 width)- EUR/m</t>
        </is>
      </c>
      <c r="C6" s="167" t="inlineStr">
        <is>
          <t>Printing (5-8 colors)***</t>
        </is>
      </c>
      <c r="D6" s="620" t="n">
        <v>0.27621</v>
      </c>
      <c r="E6" s="620" t="n">
        <v>0.20916</v>
      </c>
      <c r="F6" s="620" t="n">
        <v>0.14211</v>
      </c>
      <c r="G6" s="620" t="n">
        <v>0.11529</v>
      </c>
      <c r="H6" s="620" t="n">
        <v>0.10635</v>
      </c>
      <c r="I6" s="620" t="n">
        <v>0.10188</v>
      </c>
      <c r="J6" s="620" t="n">
        <v>0.0992</v>
      </c>
      <c r="K6" s="620" t="n">
        <v>0.0975</v>
      </c>
    </row>
    <row r="7">
      <c r="A7" s="284" t="n"/>
      <c r="B7" s="166" t="inlineStr">
        <is>
          <t>linear meters (760 width)- EUR/m</t>
        </is>
      </c>
      <c r="C7" s="167" t="inlineStr">
        <is>
          <t xml:space="preserve">Slitting </t>
        </is>
      </c>
      <c r="D7" s="620" t="n">
        <v>0.03492</v>
      </c>
      <c r="E7" s="620" t="n">
        <v>0.03042</v>
      </c>
      <c r="F7" s="620" t="n">
        <v>0.02592</v>
      </c>
      <c r="G7" s="620" t="n">
        <v>0.02412</v>
      </c>
      <c r="H7" s="620" t="n">
        <v>0.02352</v>
      </c>
      <c r="I7" s="620" t="n">
        <v>0.02322</v>
      </c>
      <c r="J7" s="620" t="n">
        <v>0.02304</v>
      </c>
      <c r="K7" s="620" t="n">
        <v>0.02292</v>
      </c>
    </row>
    <row r="8">
      <c r="A8" s="284" t="n"/>
      <c r="B8" s="169" t="inlineStr">
        <is>
          <t>linear meters (1220 width)- EUR/m</t>
        </is>
      </c>
      <c r="C8" s="170" t="inlineStr">
        <is>
          <t>Lamination First pass (120 m/m)</t>
        </is>
      </c>
      <c r="D8" s="621" t="n">
        <v>0.11673</v>
      </c>
      <c r="E8" s="621" t="n">
        <v>0.10413</v>
      </c>
      <c r="F8" s="621" t="n">
        <v>0.09153</v>
      </c>
      <c r="G8" s="621" t="n">
        <v>0.08649</v>
      </c>
      <c r="H8" s="621" t="n">
        <v>0.08481</v>
      </c>
      <c r="I8" s="621" t="n">
        <v>0.08397</v>
      </c>
      <c r="J8" s="621" t="n">
        <v>0.08345999999999999</v>
      </c>
      <c r="K8" s="621" t="n">
        <v>0.08314000000000001</v>
      </c>
    </row>
    <row r="9">
      <c r="A9" s="284" t="n"/>
      <c r="B9" s="169" t="inlineStr">
        <is>
          <t>linear meters (1220 width)- EUR/m</t>
        </is>
      </c>
      <c r="C9" s="170" t="inlineStr">
        <is>
          <t>Printing (1-2 colors)***</t>
        </is>
      </c>
      <c r="D9" s="621" t="n">
        <v>0.2150370185185185</v>
      </c>
      <c r="E9" s="621" t="n">
        <v>0.1729620185185185</v>
      </c>
      <c r="F9" s="621" t="n">
        <v>0.1308870185185185</v>
      </c>
      <c r="G9" s="621" t="n">
        <v>0.1140570185185185</v>
      </c>
      <c r="H9" s="621" t="n">
        <v>0.1084470185185185</v>
      </c>
      <c r="I9" s="621" t="n">
        <v>0.1056420185185185</v>
      </c>
      <c r="J9" s="621" t="n">
        <v>0.1039590185185185</v>
      </c>
      <c r="K9" s="621" t="n">
        <v>0.1028931185185185</v>
      </c>
    </row>
    <row r="10">
      <c r="A10" s="284" t="n"/>
      <c r="B10" s="169" t="inlineStr">
        <is>
          <t>linear meters (1220 width)- EUR/m</t>
        </is>
      </c>
      <c r="C10" s="170" t="inlineStr">
        <is>
          <t>Printing (3-4 colors)***</t>
        </is>
      </c>
      <c r="D10" s="621" t="n">
        <v>0.2513280185185185</v>
      </c>
      <c r="E10" s="621" t="n">
        <v>0.2009280185185185</v>
      </c>
      <c r="F10" s="621" t="n">
        <v>0.1505280185185185</v>
      </c>
      <c r="G10" s="621" t="n">
        <v>0.1303680185185185</v>
      </c>
      <c r="H10" s="621" t="n">
        <v>0.1236480185185185</v>
      </c>
      <c r="I10" s="621" t="n">
        <v>0.1202880185185185</v>
      </c>
      <c r="J10" s="621" t="n">
        <v>0.1182720185185185</v>
      </c>
      <c r="K10" s="621" t="n">
        <v>0.1169952185185185</v>
      </c>
    </row>
    <row r="11">
      <c r="A11" s="284" t="n"/>
      <c r="B11" s="169" t="inlineStr">
        <is>
          <t>linear meters (1220 width)- EUR/m</t>
        </is>
      </c>
      <c r="C11" s="170" t="inlineStr">
        <is>
          <t>Printing (5-8 colors)***</t>
        </is>
      </c>
      <c r="D11" s="621" t="n">
        <v>0.3027735185185185</v>
      </c>
      <c r="E11" s="621" t="n">
        <v>0.2357235185185185</v>
      </c>
      <c r="F11" s="621" t="n">
        <v>0.1686735185185185</v>
      </c>
      <c r="G11" s="621" t="n">
        <v>0.1418535185185185</v>
      </c>
      <c r="H11" s="621" t="n">
        <v>0.1329135185185185</v>
      </c>
      <c r="I11" s="621" t="n">
        <v>0.1284435185185185</v>
      </c>
      <c r="J11" s="621" t="n">
        <v>0.1257615185185185</v>
      </c>
      <c r="K11" s="621" t="n">
        <v>0.1240629185185185</v>
      </c>
    </row>
    <row r="12">
      <c r="A12" s="622" t="n"/>
      <c r="B12" s="169" t="inlineStr">
        <is>
          <t>linear meters (1220 width)- EUR/m</t>
        </is>
      </c>
      <c r="C12" s="170" t="inlineStr">
        <is>
          <t xml:space="preserve">Slitting </t>
        </is>
      </c>
      <c r="D12" s="621" t="n">
        <v>0.03491666666666667</v>
      </c>
      <c r="E12" s="621" t="n">
        <v>0.03041666666666667</v>
      </c>
      <c r="F12" s="621" t="n">
        <v>0.02591666666666667</v>
      </c>
      <c r="G12" s="621" t="n">
        <v>0.02411666666666667</v>
      </c>
      <c r="H12" s="621" t="n">
        <v>0.02351666666666666</v>
      </c>
      <c r="I12" s="621" t="n">
        <v>0.02321666666666667</v>
      </c>
      <c r="J12" s="621" t="n">
        <v>0.02303666666666667</v>
      </c>
      <c r="K12" s="621" t="n">
        <v>0.02292266666666667</v>
      </c>
    </row>
    <row r="13">
      <c r="A13" s="498" t="inlineStr">
        <is>
          <t>Bastin</t>
        </is>
      </c>
      <c r="B13" s="172" t="inlineStr">
        <is>
          <t>linear meters (760 width)- EUR/m</t>
        </is>
      </c>
      <c r="C13" s="173" t="inlineStr">
        <is>
          <t>Lamination First pass (120 m/m)</t>
        </is>
      </c>
      <c r="D13" s="623">
        <f>D3*$M$3</f>
        <v/>
      </c>
      <c r="E13" s="624">
        <f>E3*$M$3</f>
        <v/>
      </c>
      <c r="F13" s="623">
        <f>F3*$M$3</f>
        <v/>
      </c>
      <c r="G13" s="623">
        <f>G3*$M$3</f>
        <v/>
      </c>
      <c r="H13" s="623">
        <f>H3*$M$3</f>
        <v/>
      </c>
      <c r="I13" s="623">
        <f>I3*$M$3</f>
        <v/>
      </c>
      <c r="J13" s="623">
        <f>J3*$M$3</f>
        <v/>
      </c>
      <c r="K13" s="623">
        <f>K3*$M$3</f>
        <v/>
      </c>
    </row>
    <row r="14">
      <c r="A14" s="284" t="n"/>
      <c r="B14" s="172" t="inlineStr">
        <is>
          <t>linear meters (760 width)- EUR/m</t>
        </is>
      </c>
      <c r="C14" s="173" t="inlineStr">
        <is>
          <t>Printing (1-2 colors)***</t>
        </is>
      </c>
      <c r="D14" s="623">
        <f>D4*$M$4</f>
        <v/>
      </c>
      <c r="E14" s="623">
        <f>E4*$M$4</f>
        <v/>
      </c>
      <c r="F14" s="623">
        <f>F4*$M$4</f>
        <v/>
      </c>
      <c r="G14" s="623">
        <f>G4*$M$4</f>
        <v/>
      </c>
      <c r="H14" s="623">
        <f>H4*$M$4</f>
        <v/>
      </c>
      <c r="I14" s="623">
        <f>I4*$M$4</f>
        <v/>
      </c>
      <c r="J14" s="623">
        <f>J4*$M$4</f>
        <v/>
      </c>
      <c r="K14" s="623">
        <f>K4*$M$4</f>
        <v/>
      </c>
    </row>
    <row r="15">
      <c r="A15" s="284" t="n"/>
      <c r="B15" s="172" t="inlineStr">
        <is>
          <t>linear meters (760 width)- EUR/m</t>
        </is>
      </c>
      <c r="C15" s="173" t="inlineStr">
        <is>
          <t>Printing (3-4 colors)***</t>
        </is>
      </c>
      <c r="D15" s="623">
        <f>D5*$M$4</f>
        <v/>
      </c>
      <c r="E15" s="623">
        <f>E5*$M$4</f>
        <v/>
      </c>
      <c r="F15" s="623">
        <f>F5*$M$4</f>
        <v/>
      </c>
      <c r="G15" s="623">
        <f>G5*$M$4</f>
        <v/>
      </c>
      <c r="H15" s="623">
        <f>H5*$M$4</f>
        <v/>
      </c>
      <c r="I15" s="623">
        <f>I5*$M$4</f>
        <v/>
      </c>
      <c r="J15" s="623">
        <f>J5*$M$4</f>
        <v/>
      </c>
      <c r="K15" s="623">
        <f>K5*$M$4</f>
        <v/>
      </c>
    </row>
    <row r="16">
      <c r="A16" s="284" t="n"/>
      <c r="B16" s="172" t="inlineStr">
        <is>
          <t>linear meters (760 width)- EUR/m</t>
        </is>
      </c>
      <c r="C16" s="173" t="inlineStr">
        <is>
          <t>Printing (5-8 colors)***</t>
        </is>
      </c>
      <c r="D16" s="623">
        <f>D6*$M$4</f>
        <v/>
      </c>
      <c r="E16" s="623">
        <f>E6*$M$4</f>
        <v/>
      </c>
      <c r="F16" s="623">
        <f>F6*$M$4</f>
        <v/>
      </c>
      <c r="G16" s="623">
        <f>G6*$M$4</f>
        <v/>
      </c>
      <c r="H16" s="623">
        <f>H6*$M$4</f>
        <v/>
      </c>
      <c r="I16" s="623">
        <f>I6*$M$4</f>
        <v/>
      </c>
      <c r="J16" s="623">
        <f>J6*$M$4</f>
        <v/>
      </c>
      <c r="K16" s="623">
        <f>K6*$M$4</f>
        <v/>
      </c>
    </row>
    <row r="17">
      <c r="A17" s="284" t="n"/>
      <c r="B17" s="172" t="inlineStr">
        <is>
          <t>linear meters (760 width)- EUR/m</t>
        </is>
      </c>
      <c r="C17" s="173" t="inlineStr">
        <is>
          <t xml:space="preserve">Slitting </t>
        </is>
      </c>
      <c r="D17" s="623">
        <f>D7*$M$3</f>
        <v/>
      </c>
      <c r="E17" s="624">
        <f>E7*$M$3</f>
        <v/>
      </c>
      <c r="F17" s="623">
        <f>F7*$M$3</f>
        <v/>
      </c>
      <c r="G17" s="623">
        <f>G7*$M$3</f>
        <v/>
      </c>
      <c r="H17" s="623">
        <f>H7*$M$3</f>
        <v/>
      </c>
      <c r="I17" s="623">
        <f>I7*$M$3</f>
        <v/>
      </c>
      <c r="J17" s="623">
        <f>J7*$M$3</f>
        <v/>
      </c>
      <c r="K17" s="623">
        <f>K7*$M$3</f>
        <v/>
      </c>
    </row>
    <row r="18">
      <c r="A18" s="284" t="n"/>
      <c r="B18" s="176" t="inlineStr">
        <is>
          <t>linear meters (1220 width)- EUR/m</t>
        </is>
      </c>
      <c r="C18" s="177" t="inlineStr">
        <is>
          <t>Lamination First pass (120 m/m)</t>
        </is>
      </c>
      <c r="D18" s="625">
        <f>D8*$M$3</f>
        <v/>
      </c>
      <c r="E18" s="626">
        <f>E8*$M$3</f>
        <v/>
      </c>
      <c r="F18" s="625">
        <f>F8*$M$3</f>
        <v/>
      </c>
      <c r="G18" s="625">
        <f>G8*$M$3</f>
        <v/>
      </c>
      <c r="H18" s="625">
        <f>H8*$M$3</f>
        <v/>
      </c>
      <c r="I18" s="625">
        <f>I8*$M$3</f>
        <v/>
      </c>
      <c r="J18" s="625">
        <f>J8*$M$3</f>
        <v/>
      </c>
      <c r="K18" s="625">
        <f>K8*$M$3</f>
        <v/>
      </c>
    </row>
    <row r="19">
      <c r="A19" s="284" t="n"/>
      <c r="B19" s="176" t="inlineStr">
        <is>
          <t>linear meters (1220 width)- EUR/m</t>
        </is>
      </c>
      <c r="C19" s="177" t="inlineStr">
        <is>
          <t>Printing (1-2 colors)***</t>
        </is>
      </c>
      <c r="D19" s="625">
        <f>D9*$M$4</f>
        <v/>
      </c>
      <c r="E19" s="625">
        <f>E9*$M$4</f>
        <v/>
      </c>
      <c r="F19" s="625">
        <f>F9*$M$4</f>
        <v/>
      </c>
      <c r="G19" s="625">
        <f>G9*$M$4</f>
        <v/>
      </c>
      <c r="H19" s="625">
        <f>H9*$M$4</f>
        <v/>
      </c>
      <c r="I19" s="625">
        <f>I9*$M$4</f>
        <v/>
      </c>
      <c r="J19" s="625">
        <f>J9*$M$4</f>
        <v/>
      </c>
      <c r="K19" s="625">
        <f>K9*$M$4</f>
        <v/>
      </c>
    </row>
    <row r="20">
      <c r="A20" s="284" t="n"/>
      <c r="B20" s="176" t="inlineStr">
        <is>
          <t>linear meters (1220 width)- EUR/m</t>
        </is>
      </c>
      <c r="C20" s="177" t="inlineStr">
        <is>
          <t>Printing (3-4 colors)***</t>
        </is>
      </c>
      <c r="D20" s="625">
        <f>D10*$M$4</f>
        <v/>
      </c>
      <c r="E20" s="625">
        <f>E10*$M$4</f>
        <v/>
      </c>
      <c r="F20" s="625">
        <f>F10*$M$4</f>
        <v/>
      </c>
      <c r="G20" s="625">
        <f>G10*$M$4</f>
        <v/>
      </c>
      <c r="H20" s="625">
        <f>H10*$M$4</f>
        <v/>
      </c>
      <c r="I20" s="625">
        <f>I10*$M$4</f>
        <v/>
      </c>
      <c r="J20" s="625">
        <f>J10*$M$4</f>
        <v/>
      </c>
      <c r="K20" s="625">
        <f>K10*$M$4</f>
        <v/>
      </c>
    </row>
    <row r="21">
      <c r="A21" s="284" t="n"/>
      <c r="B21" s="176" t="inlineStr">
        <is>
          <t>linear meters (1220 width)- EUR/m</t>
        </is>
      </c>
      <c r="C21" s="177" t="inlineStr">
        <is>
          <t>Printing (5-8 colors)***</t>
        </is>
      </c>
      <c r="D21" s="625">
        <f>D11*$M$4</f>
        <v/>
      </c>
      <c r="E21" s="625">
        <f>E11*$M$4</f>
        <v/>
      </c>
      <c r="F21" s="625">
        <f>F11*$M$4</f>
        <v/>
      </c>
      <c r="G21" s="625">
        <f>G11*$M$4</f>
        <v/>
      </c>
      <c r="H21" s="625">
        <f>H11*$M$4</f>
        <v/>
      </c>
      <c r="I21" s="625">
        <f>I11*$M$4</f>
        <v/>
      </c>
      <c r="J21" s="625">
        <f>J11*$M$4</f>
        <v/>
      </c>
      <c r="K21" s="625">
        <f>K11*$M$4</f>
        <v/>
      </c>
    </row>
    <row r="22">
      <c r="A22" s="622" t="n"/>
      <c r="B22" s="176" t="inlineStr">
        <is>
          <t>linear meters (1220 width)- EUR/m</t>
        </is>
      </c>
      <c r="C22" s="177" t="inlineStr">
        <is>
          <t xml:space="preserve">Slitting </t>
        </is>
      </c>
      <c r="D22" s="625">
        <f>D12*$M$3</f>
        <v/>
      </c>
      <c r="E22" s="625">
        <f>E12*$M$3</f>
        <v/>
      </c>
      <c r="F22" s="625">
        <f>F12*$M$3</f>
        <v/>
      </c>
      <c r="G22" s="625">
        <f>G12*$M$3</f>
        <v/>
      </c>
      <c r="H22" s="625">
        <f>H12*$M$3</f>
        <v/>
      </c>
      <c r="I22" s="625">
        <f>I12*$M$3</f>
        <v/>
      </c>
      <c r="J22" s="625">
        <f>J12*$M$3</f>
        <v/>
      </c>
      <c r="K22" s="625">
        <f>K12*$M$3</f>
        <v/>
      </c>
    </row>
  </sheetData>
  <autoFilter ref="A2:K22"/>
  <mergeCells count="2">
    <mergeCell ref="A3:A12"/>
    <mergeCell ref="A13:A22"/>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R38"/>
  <sheetViews>
    <sheetView workbookViewId="0">
      <selection activeCell="P25" sqref="P25"/>
    </sheetView>
  </sheetViews>
  <sheetFormatPr baseColWidth="8" defaultRowHeight="15"/>
  <cols>
    <col width="15" bestFit="1" customWidth="1" style="430" min="1" max="2"/>
    <col width="18.42578125" customWidth="1" style="430" min="3" max="3"/>
    <col width="12.140625" bestFit="1" customWidth="1" style="430" min="4" max="4"/>
    <col width="9.42578125" bestFit="1" customWidth="1" style="430" min="5" max="8"/>
    <col width="10.42578125" bestFit="1" customWidth="1" style="430" min="9" max="9"/>
    <col width="9.42578125" bestFit="1" customWidth="1" style="430" min="10" max="10"/>
    <col width="11" bestFit="1" customWidth="1" style="430" min="13" max="13"/>
  </cols>
  <sheetData>
    <row r="1">
      <c r="M1" s="54" t="inlineStr">
        <is>
          <t>Important notes</t>
        </is>
      </c>
    </row>
    <row r="2">
      <c r="A2" s="132" t="inlineStr">
        <is>
          <t>Supplier</t>
        </is>
      </c>
      <c r="B2" s="132" t="inlineStr">
        <is>
          <t>Bag Type</t>
        </is>
      </c>
      <c r="C2" s="132" t="inlineStr">
        <is>
          <t>Converting costs</t>
        </is>
      </c>
      <c r="D2" s="133" t="inlineStr">
        <is>
          <t>25K pouches</t>
        </is>
      </c>
      <c r="E2" s="133" t="inlineStr">
        <is>
          <t>25-50K</t>
        </is>
      </c>
      <c r="F2" s="133" t="inlineStr">
        <is>
          <t>50-100K</t>
        </is>
      </c>
      <c r="G2" s="133" t="inlineStr">
        <is>
          <t>100-250K</t>
        </is>
      </c>
      <c r="H2" s="133" t="inlineStr">
        <is>
          <t>250-500K</t>
        </is>
      </c>
      <c r="I2" s="133" t="inlineStr">
        <is>
          <t>500-1,000K</t>
        </is>
      </c>
      <c r="J2" s="133" t="inlineStr">
        <is>
          <t>1,000K+</t>
        </is>
      </c>
      <c r="M2" s="134" t="inlineStr">
        <is>
          <t>Converting costs include the packing costs  -  pallets , carton boxes , and does not include the zipper.</t>
        </is>
      </c>
    </row>
    <row r="3">
      <c r="A3" s="161" t="inlineStr">
        <is>
          <t>Marma</t>
        </is>
      </c>
      <c r="B3" s="161" t="inlineStr">
        <is>
          <t>SUP with zipper</t>
        </is>
      </c>
      <c r="C3" s="161" t="inlineStr">
        <is>
          <t>100 MM width</t>
        </is>
      </c>
      <c r="D3" s="627" t="n">
        <v>0.04288099243061397</v>
      </c>
      <c r="E3" s="627" t="n">
        <v>0.03819806560134568</v>
      </c>
      <c r="F3" s="627" t="n">
        <v>0.03455578917858145</v>
      </c>
      <c r="G3" s="627" t="n">
        <v>0.03247448836557332</v>
      </c>
      <c r="H3" s="627" t="n">
        <v>0.03164196804037006</v>
      </c>
      <c r="I3" s="627" t="n">
        <v>0.03101757779646763</v>
      </c>
      <c r="J3" s="627" t="n">
        <v>0.03070538267451641</v>
      </c>
      <c r="M3" s="134" t="inlineStr">
        <is>
          <t>*Price per 1000 pouch - EUR *</t>
        </is>
      </c>
    </row>
    <row r="4">
      <c r="A4" s="161" t="inlineStr">
        <is>
          <t>Marma</t>
        </is>
      </c>
      <c r="B4" s="161" t="inlineStr">
        <is>
          <t>SUP with zipper</t>
        </is>
      </c>
      <c r="C4" s="161" t="inlineStr">
        <is>
          <t>150 MM width</t>
        </is>
      </c>
      <c r="D4" s="627" t="n">
        <v>0.04811382113821139</v>
      </c>
      <c r="E4" s="627" t="n">
        <v>0.0434308943089431</v>
      </c>
      <c r="F4" s="627" t="n">
        <v>0.03978861788617886</v>
      </c>
      <c r="G4" s="627" t="n">
        <v>0.03770731707317074</v>
      </c>
      <c r="H4" s="627" t="n">
        <v>0.03687479674796748</v>
      </c>
      <c r="I4" s="627" t="n">
        <v>0.03625040650406504</v>
      </c>
      <c r="J4" s="627" t="n">
        <v>0.03593821138211382</v>
      </c>
      <c r="M4" s="134" t="inlineStr">
        <is>
          <t>600 &amp; 700 mm width- too wide, can't be done</t>
        </is>
      </c>
    </row>
    <row r="5">
      <c r="A5" s="161" t="inlineStr">
        <is>
          <t>Marma</t>
        </is>
      </c>
      <c r="B5" s="161" t="inlineStr">
        <is>
          <t>SUP with zipper</t>
        </is>
      </c>
      <c r="C5" s="161" t="inlineStr">
        <is>
          <t>200 MM width</t>
        </is>
      </c>
      <c r="D5" s="627" t="n">
        <v>0.05471341463414635</v>
      </c>
      <c r="E5" s="627" t="n">
        <v>0.05003048780487806</v>
      </c>
      <c r="F5" s="627" t="n">
        <v>0.04638821138211383</v>
      </c>
      <c r="G5" s="627" t="n">
        <v>0.0443069105691057</v>
      </c>
      <c r="H5" s="627" t="n">
        <v>0.04347439024390244</v>
      </c>
      <c r="I5" s="627" t="n">
        <v>0.04285</v>
      </c>
      <c r="J5" s="627" t="n">
        <v>0.04253780487804878</v>
      </c>
      <c r="M5" s="135" t="n">
        <v>1.3</v>
      </c>
      <c r="N5" s="134" t="inlineStr">
        <is>
          <t>Bastin is highger than Marma by 30%- Shay's directive</t>
        </is>
      </c>
      <c r="O5" s="134" t="n"/>
      <c r="P5" s="134" t="n"/>
      <c r="Q5" s="134" t="n"/>
      <c r="R5" s="134" t="n"/>
    </row>
    <row r="6">
      <c r="A6" s="161" t="inlineStr">
        <is>
          <t>Marma</t>
        </is>
      </c>
      <c r="B6" s="161" t="inlineStr">
        <is>
          <t>SUP with zipper</t>
        </is>
      </c>
      <c r="C6" s="161" t="inlineStr">
        <is>
          <t>300 MM width</t>
        </is>
      </c>
      <c r="D6" s="627" t="n">
        <v>0.06581635581061693</v>
      </c>
      <c r="E6" s="627" t="n">
        <v>0.06113342898134864</v>
      </c>
      <c r="F6" s="627" t="n">
        <v>0.05749115255858441</v>
      </c>
      <c r="G6" s="627" t="n">
        <v>0.05540985174557628</v>
      </c>
      <c r="H6" s="627" t="n">
        <v>0.05457733142037303</v>
      </c>
      <c r="I6" s="627" t="n">
        <v>0.05395294117647059</v>
      </c>
      <c r="J6" s="627" t="n">
        <v>0.05364074605451937</v>
      </c>
    </row>
    <row r="7">
      <c r="A7" s="161" t="inlineStr">
        <is>
          <t>Marma</t>
        </is>
      </c>
      <c r="B7" s="161" t="inlineStr">
        <is>
          <t>SUP with zipper</t>
        </is>
      </c>
      <c r="C7" s="161" t="inlineStr">
        <is>
          <t>400 MM width</t>
        </is>
      </c>
      <c r="D7" s="627" t="n">
        <v>0.08577110694183865</v>
      </c>
      <c r="E7" s="627" t="n">
        <v>0.08108818011257035</v>
      </c>
      <c r="F7" s="627" t="n">
        <v>0.07744590368980613</v>
      </c>
      <c r="G7" s="627" t="n">
        <v>0.075364602876798</v>
      </c>
      <c r="H7" s="627" t="n">
        <v>0.07453208255159476</v>
      </c>
      <c r="I7" s="627" t="n">
        <v>0.07390769230769231</v>
      </c>
      <c r="J7" s="627" t="n">
        <v>0.07359549718574109</v>
      </c>
      <c r="M7" s="160" t="n"/>
    </row>
    <row r="8">
      <c r="A8" s="161" t="inlineStr">
        <is>
          <t>Marma</t>
        </is>
      </c>
      <c r="B8" s="161" t="inlineStr">
        <is>
          <t>SUP with zipper</t>
        </is>
      </c>
      <c r="C8" s="161" t="inlineStr">
        <is>
          <t>500 MM width</t>
        </is>
      </c>
      <c r="D8" s="627" t="n">
        <v>0.116349593495935</v>
      </c>
      <c r="E8" s="627" t="n">
        <v>0.1116666666666667</v>
      </c>
      <c r="F8" s="627" t="n">
        <v>0.1080243902439025</v>
      </c>
      <c r="G8" s="627" t="n">
        <v>0.1059430894308943</v>
      </c>
      <c r="H8" s="627" t="n">
        <v>0.1051105691056911</v>
      </c>
      <c r="I8" s="627" t="n">
        <v>0.1044861788617886</v>
      </c>
      <c r="J8" s="627" t="n">
        <v>0.1041739837398374</v>
      </c>
    </row>
    <row r="9">
      <c r="A9" s="161" t="inlineStr">
        <is>
          <t>Marma</t>
        </is>
      </c>
      <c r="B9" s="161" t="inlineStr">
        <is>
          <t>Zipper pouch</t>
        </is>
      </c>
      <c r="C9" s="161" t="inlineStr">
        <is>
          <t>100 MM width</t>
        </is>
      </c>
      <c r="D9" s="627" t="n">
        <v>0.04031198868415017</v>
      </c>
      <c r="E9" s="627" t="n">
        <v>0.03562906185488188</v>
      </c>
      <c r="F9" s="627" t="n">
        <v>0.03198678543211764</v>
      </c>
      <c r="G9" s="627" t="n">
        <v>0.02990548461910951</v>
      </c>
      <c r="H9" s="627" t="n">
        <v>0.02907296429390626</v>
      </c>
      <c r="I9" s="627" t="n">
        <v>0.02844857405000382</v>
      </c>
      <c r="J9" s="627" t="n">
        <v>0.0281363789280526</v>
      </c>
    </row>
    <row r="10">
      <c r="A10" s="161" t="inlineStr">
        <is>
          <t>Marma</t>
        </is>
      </c>
      <c r="B10" s="161" t="inlineStr">
        <is>
          <t>Zipper pouch</t>
        </is>
      </c>
      <c r="C10" s="161" t="inlineStr">
        <is>
          <t>150 MM width</t>
        </is>
      </c>
      <c r="D10" s="627" t="n">
        <v>0.04513377679231338</v>
      </c>
      <c r="E10" s="627" t="n">
        <v>0.04045084996304509</v>
      </c>
      <c r="F10" s="627" t="n">
        <v>0.03680857354028086</v>
      </c>
      <c r="G10" s="627" t="n">
        <v>0.03472727272727272</v>
      </c>
      <c r="H10" s="627" t="n">
        <v>0.03389475240206948</v>
      </c>
      <c r="I10" s="627" t="n">
        <v>0.03327036215816704</v>
      </c>
      <c r="J10" s="627" t="n">
        <v>0.03295816703621582</v>
      </c>
    </row>
    <row r="11">
      <c r="A11" s="161" t="inlineStr">
        <is>
          <t>Marma</t>
        </is>
      </c>
      <c r="B11" s="161" t="inlineStr">
        <is>
          <t>Zipper pouch</t>
        </is>
      </c>
      <c r="C11" s="161" t="inlineStr">
        <is>
          <t>200 MM width</t>
        </is>
      </c>
      <c r="D11" s="627" t="n">
        <v>0.05116574279379157</v>
      </c>
      <c r="E11" s="627" t="n">
        <v>0.04648281596452328</v>
      </c>
      <c r="F11" s="627" t="n">
        <v>0.04284053954175904</v>
      </c>
      <c r="G11" s="627" t="n">
        <v>0.04075923872875092</v>
      </c>
      <c r="H11" s="627" t="n">
        <v>0.03992671840354767</v>
      </c>
      <c r="I11" s="627" t="n">
        <v>0.03930232815964523</v>
      </c>
      <c r="J11" s="627" t="n">
        <v>0.03899013303769401</v>
      </c>
    </row>
    <row r="12">
      <c r="A12" s="161" t="inlineStr">
        <is>
          <t>Marma</t>
        </is>
      </c>
      <c r="B12" s="161" t="inlineStr">
        <is>
          <t>Zipper pouch</t>
        </is>
      </c>
      <c r="C12" s="161" t="inlineStr">
        <is>
          <t>300 MM width</t>
        </is>
      </c>
      <c r="D12" s="627" t="n">
        <v>0.06143393765488457</v>
      </c>
      <c r="E12" s="627" t="n">
        <v>0.05675101082561628</v>
      </c>
      <c r="F12" s="627" t="n">
        <v>0.05310873440285205</v>
      </c>
      <c r="G12" s="627" t="n">
        <v>0.05102743358984392</v>
      </c>
      <c r="H12" s="627" t="n">
        <v>0.05019491326464068</v>
      </c>
      <c r="I12" s="627" t="n">
        <v>0.04957052302073824</v>
      </c>
      <c r="J12" s="627" t="n">
        <v>0.04925832789878701</v>
      </c>
    </row>
    <row r="13">
      <c r="A13" s="161" t="inlineStr">
        <is>
          <t>Marma</t>
        </is>
      </c>
      <c r="B13" s="161" t="inlineStr">
        <is>
          <t>Zipper pouch</t>
        </is>
      </c>
      <c r="C13" s="161" t="inlineStr">
        <is>
          <t>400 MM width</t>
        </is>
      </c>
      <c r="D13" s="627" t="n">
        <v>0.08004025243049633</v>
      </c>
      <c r="E13" s="627" t="n">
        <v>0.07535732560122804</v>
      </c>
      <c r="F13" s="627" t="n">
        <v>0.07171504917846382</v>
      </c>
      <c r="G13" s="627" t="n">
        <v>0.06963374836545569</v>
      </c>
      <c r="H13" s="627" t="n">
        <v>0.06880122804025243</v>
      </c>
      <c r="I13" s="627" t="n">
        <v>0.06817683779634999</v>
      </c>
      <c r="J13" s="627" t="n">
        <v>0.06786464267439878</v>
      </c>
    </row>
    <row r="14">
      <c r="A14" s="161" t="inlineStr">
        <is>
          <t>Marma</t>
        </is>
      </c>
      <c r="B14" s="161" t="inlineStr">
        <is>
          <t>Zipper pouch</t>
        </is>
      </c>
      <c r="C14" s="161" t="inlineStr">
        <is>
          <t>500 MM width</t>
        </is>
      </c>
      <c r="D14" s="627" t="n">
        <v>0.1080716925351072</v>
      </c>
      <c r="E14" s="627" t="n">
        <v>0.1033887657058389</v>
      </c>
      <c r="F14" s="627" t="n">
        <v>0.09974648928307467</v>
      </c>
      <c r="G14" s="627" t="n">
        <v>0.09766518847006654</v>
      </c>
      <c r="H14" s="627" t="n">
        <v>0.09683266814486328</v>
      </c>
      <c r="I14" s="627" t="n">
        <v>0.09620827790096086</v>
      </c>
      <c r="J14" s="627" t="n">
        <v>0.09589608277900963</v>
      </c>
    </row>
    <row r="15">
      <c r="A15" s="161" t="inlineStr">
        <is>
          <t>Marma</t>
        </is>
      </c>
      <c r="B15" s="161" t="inlineStr">
        <is>
          <t>Open pouch</t>
        </is>
      </c>
      <c r="C15" s="161" t="inlineStr">
        <is>
          <t>100 MM width</t>
        </is>
      </c>
      <c r="D15" s="627" t="n">
        <v>0.03748403542325096</v>
      </c>
      <c r="E15" s="627" t="n">
        <v>0.03280110859398266</v>
      </c>
      <c r="F15" s="627" t="n">
        <v>0.02915883217121843</v>
      </c>
      <c r="G15" s="627" t="n">
        <v>0.0270775313582103</v>
      </c>
      <c r="H15" s="627" t="n">
        <v>0.02624501103300705</v>
      </c>
      <c r="I15" s="627" t="n">
        <v>0.02562062078910461</v>
      </c>
      <c r="J15" s="627" t="n">
        <v>0.02530842566715339</v>
      </c>
    </row>
    <row r="16">
      <c r="A16" s="161" t="inlineStr">
        <is>
          <t>Marma</t>
        </is>
      </c>
      <c r="B16" s="161" t="inlineStr">
        <is>
          <t>Open pouch</t>
        </is>
      </c>
      <c r="C16" s="161" t="inlineStr">
        <is>
          <t>150 MM width</t>
        </is>
      </c>
      <c r="D16" s="627" t="n">
        <v>0.04176798515601176</v>
      </c>
      <c r="E16" s="627" t="n">
        <v>0.03708505832674347</v>
      </c>
      <c r="F16" s="627" t="n">
        <v>0.03344278190397924</v>
      </c>
      <c r="G16" s="627" t="n">
        <v>0.03136148109097111</v>
      </c>
      <c r="H16" s="627" t="n">
        <v>0.03052896076576786</v>
      </c>
      <c r="I16" s="627" t="n">
        <v>0.02990457052186542</v>
      </c>
      <c r="J16" s="627" t="n">
        <v>0.0295923753999142</v>
      </c>
    </row>
    <row r="17">
      <c r="A17" s="161" t="inlineStr">
        <is>
          <t>Marma</t>
        </is>
      </c>
      <c r="B17" s="161" t="inlineStr">
        <is>
          <t>Open pouch</t>
        </is>
      </c>
      <c r="C17" s="161" t="inlineStr">
        <is>
          <t>200 MM width</t>
        </is>
      </c>
      <c r="D17" s="627" t="n">
        <v>0.04720184361093453</v>
      </c>
      <c r="E17" s="627" t="n">
        <v>0.04251891678166623</v>
      </c>
      <c r="F17" s="627" t="n">
        <v>0.038876640358902</v>
      </c>
      <c r="G17" s="627" t="n">
        <v>0.03679533954589387</v>
      </c>
      <c r="H17" s="627" t="n">
        <v>0.03596281922069062</v>
      </c>
      <c r="I17" s="627" t="n">
        <v>0.03533842897678818</v>
      </c>
      <c r="J17" s="627" t="n">
        <v>0.03502623385483696</v>
      </c>
    </row>
    <row r="18">
      <c r="A18" s="161" t="inlineStr">
        <is>
          <t>Marma</t>
        </is>
      </c>
      <c r="B18" s="161" t="inlineStr">
        <is>
          <t>Open pouch</t>
        </is>
      </c>
      <c r="C18" s="161" t="inlineStr">
        <is>
          <t>300 MM width</t>
        </is>
      </c>
      <c r="D18" s="627" t="n">
        <v>0.05626793240670899</v>
      </c>
      <c r="E18" s="627" t="n">
        <v>0.0515850055774407</v>
      </c>
      <c r="F18" s="627" t="n">
        <v>0.04794272915467647</v>
      </c>
      <c r="G18" s="627" t="n">
        <v>0.04586142834166834</v>
      </c>
      <c r="H18" s="627" t="n">
        <v>0.04502890801646509</v>
      </c>
      <c r="I18" s="627" t="n">
        <v>0.04440451777256265</v>
      </c>
      <c r="J18" s="627" t="n">
        <v>0.04409232265061143</v>
      </c>
    </row>
    <row r="19">
      <c r="A19" s="161" t="inlineStr">
        <is>
          <t>Marma</t>
        </is>
      </c>
      <c r="B19" s="161" t="inlineStr">
        <is>
          <t>Open pouch</t>
        </is>
      </c>
      <c r="C19" s="161" t="inlineStr">
        <is>
          <t>400 MM width</t>
        </is>
      </c>
      <c r="D19" s="627" t="n">
        <v>0.0724664072069837</v>
      </c>
      <c r="E19" s="627" t="n">
        <v>0.06778348037771541</v>
      </c>
      <c r="F19" s="627" t="n">
        <v>0.06414120395495118</v>
      </c>
      <c r="G19" s="627" t="n">
        <v>0.06205990314194305</v>
      </c>
      <c r="H19" s="627" t="n">
        <v>0.0612273828167398</v>
      </c>
      <c r="I19" s="627" t="n">
        <v>0.06060299257283736</v>
      </c>
      <c r="J19" s="627" t="n">
        <v>0.06029079745088614</v>
      </c>
    </row>
    <row r="20">
      <c r="A20" s="161" t="inlineStr">
        <is>
          <t>Marma</t>
        </is>
      </c>
      <c r="B20" s="161" t="inlineStr">
        <is>
          <t>Open pouch</t>
        </is>
      </c>
      <c r="C20" s="161" t="inlineStr">
        <is>
          <t>500 MM width</t>
        </is>
      </c>
      <c r="D20" s="627" t="n">
        <v>0.09759135616785285</v>
      </c>
      <c r="E20" s="627" t="n">
        <v>0.09290842933858455</v>
      </c>
      <c r="F20" s="627" t="n">
        <v>0.08926615291582034</v>
      </c>
      <c r="G20" s="627" t="n">
        <v>0.0871848521028122</v>
      </c>
      <c r="H20" s="627" t="n">
        <v>0.08635233177760894</v>
      </c>
      <c r="I20" s="627" t="n">
        <v>0.08572794153370651</v>
      </c>
      <c r="J20" s="627" t="n">
        <v>0.0854157464117553</v>
      </c>
    </row>
    <row r="21">
      <c r="A21" s="162" t="inlineStr">
        <is>
          <t>Bastin</t>
        </is>
      </c>
      <c r="B21" s="162" t="inlineStr">
        <is>
          <t>SUP with zipper</t>
        </is>
      </c>
      <c r="C21" s="162" t="inlineStr">
        <is>
          <t>100 MM width</t>
        </is>
      </c>
      <c r="D21" s="628">
        <f>D3*$M$5</f>
        <v/>
      </c>
      <c r="E21" s="628">
        <f>E3*$M$5</f>
        <v/>
      </c>
      <c r="F21" s="628">
        <f>F3*$M$5</f>
        <v/>
      </c>
      <c r="G21" s="628">
        <f>G3*$M$5</f>
        <v/>
      </c>
      <c r="H21" s="628">
        <f>H3*$M$5</f>
        <v/>
      </c>
      <c r="I21" s="628">
        <f>I3*$M$5</f>
        <v/>
      </c>
      <c r="J21" s="628">
        <f>J3*$M$5</f>
        <v/>
      </c>
    </row>
    <row r="22">
      <c r="A22" s="162" t="inlineStr">
        <is>
          <t>Bastin</t>
        </is>
      </c>
      <c r="B22" s="162" t="inlineStr">
        <is>
          <t>SUP with zipper</t>
        </is>
      </c>
      <c r="C22" s="162" t="inlineStr">
        <is>
          <t>150 MM width</t>
        </is>
      </c>
      <c r="D22" s="628">
        <f>D4*$M$5</f>
        <v/>
      </c>
      <c r="E22" s="628">
        <f>E4*$M$5</f>
        <v/>
      </c>
      <c r="F22" s="628">
        <f>F4*$M$5</f>
        <v/>
      </c>
      <c r="G22" s="628">
        <f>G4*$M$5</f>
        <v/>
      </c>
      <c r="H22" s="628">
        <f>H4*$M$5</f>
        <v/>
      </c>
      <c r="I22" s="628">
        <f>I4*$M$5</f>
        <v/>
      </c>
      <c r="J22" s="628">
        <f>J4*$M$5</f>
        <v/>
      </c>
      <c r="L22" t="n">
        <v>0.04901951219512197</v>
      </c>
    </row>
    <row r="23">
      <c r="A23" s="162" t="inlineStr">
        <is>
          <t>Bastin</t>
        </is>
      </c>
      <c r="B23" s="162" t="inlineStr">
        <is>
          <t>SUP with zipper</t>
        </is>
      </c>
      <c r="C23" s="162" t="inlineStr">
        <is>
          <t>200 MM width</t>
        </is>
      </c>
      <c r="D23" s="628">
        <f>D5*$M$5</f>
        <v/>
      </c>
      <c r="E23" s="628">
        <f>E5*$M$5</f>
        <v/>
      </c>
      <c r="F23" s="628">
        <f>F5*$M$5</f>
        <v/>
      </c>
      <c r="G23" s="628">
        <f>G5*$M$5</f>
        <v/>
      </c>
      <c r="H23" s="628">
        <f>H5*$M$5</f>
        <v/>
      </c>
      <c r="I23" s="628">
        <f>I5*$M$5</f>
        <v/>
      </c>
      <c r="J23" s="628">
        <f>J5*$M$5</f>
        <v/>
      </c>
    </row>
    <row r="24">
      <c r="A24" s="162" t="inlineStr">
        <is>
          <t>Bastin</t>
        </is>
      </c>
      <c r="B24" s="162" t="inlineStr">
        <is>
          <t>SUP with zipper</t>
        </is>
      </c>
      <c r="C24" s="162" t="inlineStr">
        <is>
          <t>300 MM width</t>
        </is>
      </c>
      <c r="D24" s="628">
        <f>D6*$M$5</f>
        <v/>
      </c>
      <c r="E24" s="628">
        <f>E6*$M$5</f>
        <v/>
      </c>
      <c r="F24" s="628">
        <f>F6*$M$5</f>
        <v/>
      </c>
      <c r="G24" s="628">
        <f>G6*$M$5</f>
        <v/>
      </c>
      <c r="H24" s="628">
        <f>H6*$M$5</f>
        <v/>
      </c>
      <c r="I24" s="628">
        <f>I6*$M$5</f>
        <v/>
      </c>
      <c r="J24" s="628">
        <f>J6*$M$5</f>
        <v/>
      </c>
    </row>
    <row r="25">
      <c r="A25" s="162" t="inlineStr">
        <is>
          <t>Bastin</t>
        </is>
      </c>
      <c r="B25" s="162" t="inlineStr">
        <is>
          <t>SUP with zipper</t>
        </is>
      </c>
      <c r="C25" s="162" t="inlineStr">
        <is>
          <t>400 MM width</t>
        </is>
      </c>
      <c r="D25" s="628">
        <f>D7*$M$5</f>
        <v/>
      </c>
      <c r="E25" s="628">
        <f>E7*$M$5</f>
        <v/>
      </c>
      <c r="F25" s="628">
        <f>F7*$M$5</f>
        <v/>
      </c>
      <c r="G25" s="628">
        <f>G7*$M$5</f>
        <v/>
      </c>
      <c r="H25" s="628">
        <f>H7*$M$5</f>
        <v/>
      </c>
      <c r="I25" s="628">
        <f>I7*$M$5</f>
        <v/>
      </c>
      <c r="J25" s="628">
        <f>J7*$M$5</f>
        <v/>
      </c>
    </row>
    <row r="26">
      <c r="A26" s="162" t="inlineStr">
        <is>
          <t>Bastin</t>
        </is>
      </c>
      <c r="B26" s="162" t="inlineStr">
        <is>
          <t>SUP with zipper</t>
        </is>
      </c>
      <c r="C26" s="162" t="inlineStr">
        <is>
          <t>500 MM width</t>
        </is>
      </c>
      <c r="D26" s="628">
        <f>D8*$M$5</f>
        <v/>
      </c>
      <c r="E26" s="628">
        <f>E8*$M$5</f>
        <v/>
      </c>
      <c r="F26" s="628">
        <f>F8*$M$5</f>
        <v/>
      </c>
      <c r="G26" s="628">
        <f>G8*$M$5</f>
        <v/>
      </c>
      <c r="H26" s="628">
        <f>H8*$M$5</f>
        <v/>
      </c>
      <c r="I26" s="628">
        <f>I8*$M$5</f>
        <v/>
      </c>
      <c r="J26" s="628">
        <f>J8*$M$5</f>
        <v/>
      </c>
    </row>
    <row r="27">
      <c r="A27" s="162" t="inlineStr">
        <is>
          <t>Bastin</t>
        </is>
      </c>
      <c r="B27" s="162" t="inlineStr">
        <is>
          <t>Zipper pouch</t>
        </is>
      </c>
      <c r="C27" s="162" t="inlineStr">
        <is>
          <t>100 MM width</t>
        </is>
      </c>
      <c r="D27" s="628">
        <f>D9*$M$5</f>
        <v/>
      </c>
      <c r="E27" s="628">
        <f>E9*$M$5</f>
        <v/>
      </c>
      <c r="F27" s="628">
        <f>F9*$M$5</f>
        <v/>
      </c>
      <c r="G27" s="628">
        <f>G9*$M$5</f>
        <v/>
      </c>
      <c r="H27" s="628">
        <f>H9*$M$5</f>
        <v/>
      </c>
      <c r="I27" s="628">
        <f>I9*$M$5</f>
        <v/>
      </c>
      <c r="J27" s="628">
        <f>J9*$M$5</f>
        <v/>
      </c>
    </row>
    <row r="28">
      <c r="A28" s="162" t="inlineStr">
        <is>
          <t>Bastin</t>
        </is>
      </c>
      <c r="B28" s="162" t="inlineStr">
        <is>
          <t>Zipper pouch</t>
        </is>
      </c>
      <c r="C28" s="162" t="inlineStr">
        <is>
          <t>150 MM width</t>
        </is>
      </c>
      <c r="D28" s="628">
        <f>D10*$M$5</f>
        <v/>
      </c>
      <c r="E28" s="628">
        <f>E10*$M$5</f>
        <v/>
      </c>
      <c r="F28" s="628">
        <f>F10*$M$5</f>
        <v/>
      </c>
      <c r="G28" s="628">
        <f>G10*$M$5</f>
        <v/>
      </c>
      <c r="H28" s="628">
        <f>H10*$M$5</f>
        <v/>
      </c>
      <c r="I28" s="628">
        <f>I10*$M$5</f>
        <v/>
      </c>
      <c r="J28" s="628">
        <f>J10*$M$5</f>
        <v/>
      </c>
    </row>
    <row r="29">
      <c r="A29" s="162" t="inlineStr">
        <is>
          <t>Bastin</t>
        </is>
      </c>
      <c r="B29" s="162" t="inlineStr">
        <is>
          <t>Zipper pouch</t>
        </is>
      </c>
      <c r="C29" s="162" t="inlineStr">
        <is>
          <t>200 MM width</t>
        </is>
      </c>
      <c r="D29" s="628">
        <f>D11*$M$5</f>
        <v/>
      </c>
      <c r="E29" s="628">
        <f>E11*$M$5</f>
        <v/>
      </c>
      <c r="F29" s="628">
        <f>F11*$M$5</f>
        <v/>
      </c>
      <c r="G29" s="628">
        <f>G11*$M$5</f>
        <v/>
      </c>
      <c r="H29" s="628">
        <f>H11*$M$5</f>
        <v/>
      </c>
      <c r="I29" s="628">
        <f>I11*$M$5</f>
        <v/>
      </c>
      <c r="J29" s="628">
        <f>J11*$M$5</f>
        <v/>
      </c>
    </row>
    <row r="30">
      <c r="A30" s="162" t="inlineStr">
        <is>
          <t>Bastin</t>
        </is>
      </c>
      <c r="B30" s="162" t="inlineStr">
        <is>
          <t>Zipper pouch</t>
        </is>
      </c>
      <c r="C30" s="162" t="inlineStr">
        <is>
          <t>300 MM width</t>
        </is>
      </c>
      <c r="D30" s="628">
        <f>D12*$M$5</f>
        <v/>
      </c>
      <c r="E30" s="628">
        <f>E12*$M$5</f>
        <v/>
      </c>
      <c r="F30" s="628">
        <f>F12*$M$5</f>
        <v/>
      </c>
      <c r="G30" s="628">
        <f>G12*$M$5</f>
        <v/>
      </c>
      <c r="H30" s="628">
        <f>H12*$M$5</f>
        <v/>
      </c>
      <c r="I30" s="628">
        <f>I12*$M$5</f>
        <v/>
      </c>
      <c r="J30" s="628">
        <f>J12*$M$5</f>
        <v/>
      </c>
    </row>
    <row r="31">
      <c r="A31" s="162" t="inlineStr">
        <is>
          <t>Bastin</t>
        </is>
      </c>
      <c r="B31" s="162" t="inlineStr">
        <is>
          <t>Zipper pouch</t>
        </is>
      </c>
      <c r="C31" s="162" t="inlineStr">
        <is>
          <t>400 MM width</t>
        </is>
      </c>
      <c r="D31" s="628">
        <f>D13*$M$5</f>
        <v/>
      </c>
      <c r="E31" s="628">
        <f>E13*$M$5</f>
        <v/>
      </c>
      <c r="F31" s="628">
        <f>F13*$M$5</f>
        <v/>
      </c>
      <c r="G31" s="628">
        <f>G13*$M$5</f>
        <v/>
      </c>
      <c r="H31" s="628">
        <f>H13*$M$5</f>
        <v/>
      </c>
      <c r="I31" s="628">
        <f>I13*$M$5</f>
        <v/>
      </c>
      <c r="J31" s="628">
        <f>J13*$M$5</f>
        <v/>
      </c>
    </row>
    <row r="32">
      <c r="A32" s="162" t="inlineStr">
        <is>
          <t>Bastin</t>
        </is>
      </c>
      <c r="B32" s="162" t="inlineStr">
        <is>
          <t>Zipper pouch</t>
        </is>
      </c>
      <c r="C32" s="162" t="inlineStr">
        <is>
          <t>500 MM width</t>
        </is>
      </c>
      <c r="D32" s="628">
        <f>D14*$M$5</f>
        <v/>
      </c>
      <c r="E32" s="628">
        <f>E14*$M$5</f>
        <v/>
      </c>
      <c r="F32" s="628">
        <f>F14*$M$5</f>
        <v/>
      </c>
      <c r="G32" s="628">
        <f>G14*$M$5</f>
        <v/>
      </c>
      <c r="H32" s="628">
        <f>H14*$M$5</f>
        <v/>
      </c>
      <c r="I32" s="628">
        <f>I14*$M$5</f>
        <v/>
      </c>
      <c r="J32" s="628">
        <f>J14*$M$5</f>
        <v/>
      </c>
    </row>
    <row r="33">
      <c r="A33" s="162" t="inlineStr">
        <is>
          <t>Bastin</t>
        </is>
      </c>
      <c r="B33" s="162" t="inlineStr">
        <is>
          <t>Open pouch</t>
        </is>
      </c>
      <c r="C33" s="162" t="inlineStr">
        <is>
          <t>100 MM width</t>
        </is>
      </c>
      <c r="D33" s="628">
        <f>D15*$M$5</f>
        <v/>
      </c>
      <c r="E33" s="628">
        <f>E15*$M$5</f>
        <v/>
      </c>
      <c r="F33" s="628">
        <f>F15*$M$5</f>
        <v/>
      </c>
      <c r="G33" s="628">
        <f>G15*$M$5</f>
        <v/>
      </c>
      <c r="H33" s="628">
        <f>H15*$M$5</f>
        <v/>
      </c>
      <c r="I33" s="628">
        <f>I15*$M$5</f>
        <v/>
      </c>
      <c r="J33" s="628">
        <f>J15*$M$5</f>
        <v/>
      </c>
    </row>
    <row r="34">
      <c r="A34" s="162" t="inlineStr">
        <is>
          <t>Bastin</t>
        </is>
      </c>
      <c r="B34" s="162" t="inlineStr">
        <is>
          <t>Open pouch</t>
        </is>
      </c>
      <c r="C34" s="162" t="inlineStr">
        <is>
          <t>150 MM width</t>
        </is>
      </c>
      <c r="D34" s="628">
        <f>D16*$M$5</f>
        <v/>
      </c>
      <c r="E34" s="628">
        <f>E16*$M$5</f>
        <v/>
      </c>
      <c r="F34" s="628">
        <f>F16*$M$5</f>
        <v/>
      </c>
      <c r="G34" s="628">
        <f>G16*$M$5</f>
        <v/>
      </c>
      <c r="H34" s="628">
        <f>H16*$M$5</f>
        <v/>
      </c>
      <c r="I34" s="628">
        <f>I16*$M$5</f>
        <v/>
      </c>
      <c r="J34" s="628">
        <f>J16*$M$5</f>
        <v/>
      </c>
    </row>
    <row r="35">
      <c r="A35" s="162" t="inlineStr">
        <is>
          <t>Bastin</t>
        </is>
      </c>
      <c r="B35" s="162" t="inlineStr">
        <is>
          <t>Open pouch</t>
        </is>
      </c>
      <c r="C35" s="162" t="inlineStr">
        <is>
          <t>200 MM width</t>
        </is>
      </c>
      <c r="D35" s="628">
        <f>D17*$M$5</f>
        <v/>
      </c>
      <c r="E35" s="628">
        <f>E17*$M$5</f>
        <v/>
      </c>
      <c r="F35" s="628">
        <f>F17*$M$5</f>
        <v/>
      </c>
      <c r="G35" s="628">
        <f>G17*$M$5</f>
        <v/>
      </c>
      <c r="H35" s="628">
        <f>H17*$M$5</f>
        <v/>
      </c>
      <c r="I35" s="628">
        <f>I17*$M$5</f>
        <v/>
      </c>
      <c r="J35" s="628">
        <f>J17*$M$5</f>
        <v/>
      </c>
    </row>
    <row r="36">
      <c r="A36" s="162" t="inlineStr">
        <is>
          <t>Bastin</t>
        </is>
      </c>
      <c r="B36" s="162" t="inlineStr">
        <is>
          <t>Open pouch</t>
        </is>
      </c>
      <c r="C36" s="162" t="inlineStr">
        <is>
          <t>300 MM width</t>
        </is>
      </c>
      <c r="D36" s="628">
        <f>D18*$M$5</f>
        <v/>
      </c>
      <c r="E36" s="628">
        <f>E18*$M$5</f>
        <v/>
      </c>
      <c r="F36" s="628">
        <f>F18*$M$5</f>
        <v/>
      </c>
      <c r="G36" s="628">
        <f>G18*$M$5</f>
        <v/>
      </c>
      <c r="H36" s="628">
        <f>H18*$M$5</f>
        <v/>
      </c>
      <c r="I36" s="628">
        <f>I18*$M$5</f>
        <v/>
      </c>
      <c r="J36" s="628">
        <f>J18*$M$5</f>
        <v/>
      </c>
    </row>
    <row r="37">
      <c r="A37" s="162" t="inlineStr">
        <is>
          <t>Bastin</t>
        </is>
      </c>
      <c r="B37" s="162" t="inlineStr">
        <is>
          <t>Open pouch</t>
        </is>
      </c>
      <c r="C37" s="162" t="inlineStr">
        <is>
          <t>400 MM width</t>
        </is>
      </c>
      <c r="D37" s="629">
        <f>D19*$M$5</f>
        <v/>
      </c>
      <c r="E37" s="628">
        <f>E19*$M$5</f>
        <v/>
      </c>
      <c r="F37" s="628">
        <f>F19*$M$5</f>
        <v/>
      </c>
      <c r="G37" s="628">
        <f>G19*$M$5</f>
        <v/>
      </c>
      <c r="H37" s="628">
        <f>H19*$M$5</f>
        <v/>
      </c>
      <c r="I37" s="628">
        <f>I19*$M$5</f>
        <v/>
      </c>
      <c r="J37" s="628">
        <f>J19*$M$5</f>
        <v/>
      </c>
    </row>
    <row r="38">
      <c r="A38" s="162" t="inlineStr">
        <is>
          <t>Bastin</t>
        </is>
      </c>
      <c r="B38" s="162" t="inlineStr">
        <is>
          <t>Open pouch</t>
        </is>
      </c>
      <c r="C38" s="162" t="inlineStr">
        <is>
          <t>500 MM width</t>
        </is>
      </c>
      <c r="D38" s="628">
        <f>D20*$M$5</f>
        <v/>
      </c>
      <c r="E38" s="628">
        <f>E20*$M$5</f>
        <v/>
      </c>
      <c r="F38" s="628">
        <f>F20*$M$5</f>
        <v/>
      </c>
      <c r="G38" s="628">
        <f>G20*$M$5</f>
        <v/>
      </c>
      <c r="H38" s="628">
        <f>H20*$M$5</f>
        <v/>
      </c>
      <c r="I38" s="628">
        <f>I20*$M$5</f>
        <v/>
      </c>
      <c r="J38" s="628">
        <f>J20*$M$5</f>
        <v/>
      </c>
    </row>
  </sheetData>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fitToPage="1"/>
  </sheetPr>
  <dimension ref="A1:F122"/>
  <sheetViews>
    <sheetView zoomScale="80" zoomScaleNormal="80" workbookViewId="0">
      <selection activeCell="I27" sqref="I27"/>
    </sheetView>
  </sheetViews>
  <sheetFormatPr baseColWidth="8" defaultColWidth="9.140625" defaultRowHeight="15"/>
  <cols>
    <col width="70.140625" customWidth="1" style="485" min="1" max="1"/>
    <col width="84.7109375" customWidth="1" style="485" min="2" max="2"/>
    <col width="39.42578125" bestFit="1" customWidth="1" style="485" min="3" max="3"/>
    <col width="22.42578125" bestFit="1" customWidth="1" style="485" min="4" max="4"/>
    <col width="23.28515625" bestFit="1" customWidth="1" style="485" min="5" max="5"/>
    <col width="57.42578125" customWidth="1" style="485" min="6" max="6"/>
    <col width="9.140625" customWidth="1" style="485" min="7" max="16384"/>
  </cols>
  <sheetData>
    <row r="1" ht="18.75" customHeight="1" s="430">
      <c r="A1" s="499" t="inlineStr">
        <is>
          <t>Products structures</t>
        </is>
      </c>
      <c r="B1" s="630" t="n"/>
      <c r="C1" s="630" t="n"/>
      <c r="D1" s="630" t="n"/>
      <c r="E1" s="630" t="n"/>
      <c r="F1" s="630" t="n"/>
    </row>
    <row r="2" ht="37.5" customHeight="1" s="430">
      <c r="A2" s="185" t="inlineStr">
        <is>
          <t>B4P name/structure</t>
        </is>
      </c>
      <c r="B2" s="186" t="inlineStr">
        <is>
          <t>TIPA name |Final Structure</t>
        </is>
      </c>
      <c r="C2" s="187" t="inlineStr">
        <is>
          <t>Glue</t>
        </is>
      </c>
      <c r="D2" s="187" t="inlineStr">
        <is>
          <t>Industrial Certificate</t>
        </is>
      </c>
      <c r="E2" s="187" t="inlineStr">
        <is>
          <t>Home Certificate</t>
        </is>
      </c>
      <c r="F2" s="187" t="inlineStr">
        <is>
          <t>Remarks</t>
        </is>
      </c>
    </row>
    <row r="3">
      <c r="A3" s="188" t="inlineStr">
        <is>
          <t>BTI - PLA|NK</t>
        </is>
      </c>
      <c r="B3" s="189" t="inlineStr">
        <is>
          <t>B.LAM 902 ( PLA | NK )</t>
        </is>
      </c>
      <c r="C3" s="190" t="inlineStr">
        <is>
          <t>Morchem - Solvent based adhesive</t>
        </is>
      </c>
      <c r="D3" s="191" t="inlineStr">
        <is>
          <t>7P0466</t>
        </is>
      </c>
      <c r="E3" s="190" t="n"/>
      <c r="F3" s="190" t="n"/>
    </row>
    <row r="4">
      <c r="A4" s="188" t="inlineStr">
        <is>
          <t>BUI - PLA- MET|NK</t>
        </is>
      </c>
      <c r="B4" s="189" t="inlineStr">
        <is>
          <t>B.LAM 903 ( PLA-MET | NK)</t>
        </is>
      </c>
      <c r="C4" s="190" t="inlineStr">
        <is>
          <t>Morchem - Solvent based adhesive</t>
        </is>
      </c>
      <c r="D4" s="191" t="inlineStr">
        <is>
          <t>7P0466</t>
        </is>
      </c>
      <c r="E4" s="190" t="n"/>
      <c r="F4" s="190" t="n"/>
    </row>
    <row r="5">
      <c r="A5" s="188" t="inlineStr">
        <is>
          <t>BMI - PLA-PVOH|NK</t>
        </is>
      </c>
      <c r="B5" s="189" t="inlineStr">
        <is>
          <t>B.LAM 904 ( PLA-PVOH|NK)</t>
        </is>
      </c>
      <c r="C5" s="190" t="inlineStr">
        <is>
          <t>Morchem - Solvent based adhesive</t>
        </is>
      </c>
      <c r="D5" s="191" t="inlineStr">
        <is>
          <t>7P0466</t>
        </is>
      </c>
      <c r="E5" s="190" t="n"/>
      <c r="F5" s="190" t="n"/>
    </row>
    <row r="6">
      <c r="A6" s="188" t="n"/>
      <c r="B6" s="192" t="inlineStr">
        <is>
          <t>B.LAM 905 ( BIOPE | NK )</t>
        </is>
      </c>
      <c r="C6" s="190" t="n"/>
      <c r="D6" s="191" t="n"/>
      <c r="E6" s="190" t="n"/>
      <c r="F6" s="190" t="n"/>
    </row>
    <row r="7">
      <c r="A7" s="188" t="n"/>
      <c r="B7" s="192" t="inlineStr">
        <is>
          <t>B.LAM 906 ( BIOPE | OPE )</t>
        </is>
      </c>
      <c r="C7" s="190" t="n"/>
      <c r="D7" s="191" t="n"/>
      <c r="E7" s="190" t="n"/>
      <c r="F7" s="190" t="n"/>
    </row>
    <row r="8">
      <c r="A8" s="188" t="inlineStr">
        <is>
          <t>BIP - NK|Paper (Paperwise)</t>
        </is>
      </c>
      <c r="B8" s="189" t="inlineStr">
        <is>
          <t>B.LAM 907 (NK or NK White| Paperwise)</t>
        </is>
      </c>
      <c r="C8" s="190" t="inlineStr">
        <is>
          <t>Morchem - Solvent based adhesive</t>
        </is>
      </c>
      <c r="D8" s="191" t="inlineStr">
        <is>
          <t>7P0466</t>
        </is>
      </c>
      <c r="E8" s="190" t="n"/>
      <c r="F8" s="190" t="n"/>
    </row>
    <row r="9">
      <c r="A9" s="188" t="inlineStr">
        <is>
          <t>BFwF - NK white |NK</t>
        </is>
      </c>
      <c r="B9" s="189" t="inlineStr">
        <is>
          <t>B.LAM 908 (NK white|NK)</t>
        </is>
      </c>
      <c r="C9" s="190" t="inlineStr">
        <is>
          <t>Morchem - Solvent based adhesive</t>
        </is>
      </c>
      <c r="D9" s="191" t="inlineStr">
        <is>
          <t>7P0466</t>
        </is>
      </c>
      <c r="E9" s="190" t="n"/>
      <c r="F9" s="190" t="n"/>
    </row>
    <row r="10" ht="18.75" customHeight="1" s="430">
      <c r="A10" s="193" t="inlineStr">
        <is>
          <t>BTpALXFFmt - Foil (biofilm) | glue (S base) | Foil (Cellulose) | glue (S base) | Foil (Cellulose) matt</t>
        </is>
      </c>
      <c r="B10" s="192" t="inlineStr">
        <is>
          <t>B.LAM 909 Foil (biofilm) | glue (S base) | Foil (Cellulose) | glue (S base) | Foil (Cellulose) matt</t>
        </is>
      </c>
      <c r="C10" s="190" t="inlineStr">
        <is>
          <t>NA</t>
        </is>
      </c>
      <c r="D10" s="191" t="n"/>
      <c r="E10" s="190" t="n"/>
      <c r="F10" s="190" t="n"/>
    </row>
    <row r="11">
      <c r="A11" s="188" t="inlineStr">
        <is>
          <t>Coffee capsule lid laminate - IC (Tea bag paper - NK |high heat PLA + PVOH)</t>
        </is>
      </c>
      <c r="B11" s="192" t="inlineStr">
        <is>
          <t>B.LAM 910 Coffee capsule lid laminate - IC (Tea bag paper - NK |high heat PLA + PVOH)</t>
        </is>
      </c>
      <c r="C11" s="194" t="inlineStr">
        <is>
          <t>NA</t>
        </is>
      </c>
      <c r="D11" s="191" t="n"/>
      <c r="E11" s="190" t="n"/>
      <c r="F11" s="190" t="n"/>
    </row>
    <row r="12">
      <c r="A12" s="188" t="inlineStr">
        <is>
          <t xml:space="preserve">BTIN-43 - Natureflex DNE- NATIVIA NTSS </t>
        </is>
      </c>
      <c r="B12" s="189" t="inlineStr">
        <is>
          <t xml:space="preserve">B.LAM 911 Natureflex DNE- NATIVIA NTSS </t>
        </is>
      </c>
      <c r="C12" s="190" t="inlineStr">
        <is>
          <t>Morchem - Solvent based adhesive</t>
        </is>
      </c>
      <c r="D12" s="191" t="inlineStr">
        <is>
          <t>7P0466</t>
        </is>
      </c>
      <c r="E12" s="190" t="n"/>
      <c r="F12" s="190" t="n"/>
    </row>
    <row r="13">
      <c r="A13" s="188" t="n"/>
      <c r="B13" s="192" t="inlineStr">
        <is>
          <t>B.LAM 912 ( NK | Paper Kraft white 32gr )</t>
        </is>
      </c>
      <c r="C13" s="190" t="n"/>
      <c r="D13" s="191" t="n"/>
      <c r="E13" s="190" t="n"/>
      <c r="F13" s="190" t="n"/>
    </row>
    <row r="14">
      <c r="A14" s="188" t="n"/>
      <c r="B14" s="192" t="inlineStr">
        <is>
          <t>B.LAM 913 ( BIOPE  30mic | NK  23mic | NK 23mic )</t>
        </is>
      </c>
      <c r="C14" s="190" t="inlineStr">
        <is>
          <t>?</t>
        </is>
      </c>
      <c r="D14" s="191" t="n"/>
      <c r="E14" s="190" t="n"/>
      <c r="F14" s="190" t="n"/>
    </row>
    <row r="15">
      <c r="A15" s="188" t="n"/>
      <c r="B15" s="192" t="inlineStr">
        <is>
          <t>B.LAM 914 ( PLA | Paper Kraft White [50gr / 60µm] )</t>
        </is>
      </c>
      <c r="C15" s="195" t="inlineStr">
        <is>
          <t xml:space="preserve">Epotal 3675- water based adhesive </t>
        </is>
      </c>
      <c r="D15" s="191" t="n"/>
      <c r="E15" s="190" t="n"/>
      <c r="F15" s="190" t="n"/>
    </row>
    <row r="16">
      <c r="A16" s="188" t="inlineStr">
        <is>
          <t>BPP</t>
        </is>
      </c>
      <c r="B16" s="192" t="inlineStr">
        <is>
          <t xml:space="preserve">EcoBarrier Jass@heat </t>
        </is>
      </c>
      <c r="C16" s="190" t="inlineStr">
        <is>
          <t>Walki Plastiroll Oy</t>
        </is>
      </c>
      <c r="D16" s="191" t="inlineStr">
        <is>
          <t>7P0466</t>
        </is>
      </c>
      <c r="E16" s="190" t="n"/>
      <c r="F16" s="190" t="n"/>
    </row>
    <row r="17">
      <c r="A17" s="188" t="inlineStr">
        <is>
          <t xml:space="preserve">BTpFmF – TIPA 302|NKME|NK </t>
        </is>
      </c>
      <c r="B17" s="189" t="inlineStr">
        <is>
          <t>T.LAM 106 ( TIPA 302|NKME|NK )</t>
        </is>
      </c>
      <c r="C17" s="190" t="inlineStr">
        <is>
          <t>Morchem - Solvent based adhesive</t>
        </is>
      </c>
      <c r="D17" s="191" t="inlineStr">
        <is>
          <t xml:space="preserve">7P0466 \ TA8011601644 </t>
        </is>
      </c>
      <c r="E17" s="191" t="n"/>
      <c r="F17" s="190" t="n"/>
    </row>
    <row r="18">
      <c r="A18" s="188" t="n"/>
      <c r="B18" s="196" t="inlineStr">
        <is>
          <t>T.LAM 228 ( TIPA 302 | TIPA 312 MET | Paperwise )</t>
        </is>
      </c>
      <c r="C18" s="197" t="inlineStr">
        <is>
          <t xml:space="preserve">Ex Lam </t>
        </is>
      </c>
      <c r="D18" s="191" t="inlineStr">
        <is>
          <t>7P0466</t>
        </is>
      </c>
      <c r="E18" s="190" t="n"/>
      <c r="F18" s="190" t="n"/>
    </row>
    <row r="19">
      <c r="A19" s="188" t="inlineStr">
        <is>
          <t>BTpP - TIPA 302|Paper</t>
        </is>
      </c>
      <c r="B19" s="192" t="inlineStr">
        <is>
          <t>T.LAM 230 ( TIPA 302 | Paperwise )</t>
        </is>
      </c>
      <c r="C19" s="190" t="inlineStr">
        <is>
          <t>Morchem - Solvent based adhesive</t>
        </is>
      </c>
      <c r="D19" s="191" t="inlineStr">
        <is>
          <t>7P0466 \  TA8012105761</t>
        </is>
      </c>
      <c r="E19" s="191" t="n"/>
      <c r="F19" s="190" t="n"/>
    </row>
    <row r="20">
      <c r="A20" s="188" t="n"/>
      <c r="B20" s="192" t="inlineStr">
        <is>
          <t>T.LAM 231 ( TIPA 302 | Paper [Billerud/Sapi] )</t>
        </is>
      </c>
      <c r="C20" s="195" t="inlineStr">
        <is>
          <t xml:space="preserve">Epotal 3675- water based adhesive </t>
        </is>
      </c>
      <c r="D20" s="191" t="n"/>
      <c r="E20" s="191" t="n"/>
      <c r="F20" s="190" t="n"/>
    </row>
    <row r="21">
      <c r="A21" s="188" t="n"/>
      <c r="B21" s="198" t="inlineStr">
        <is>
          <t>T.LAM 408 ( NK | TIPA 312 MET )</t>
        </is>
      </c>
      <c r="C21" s="197" t="inlineStr">
        <is>
          <t xml:space="preserve">Ex Lam </t>
        </is>
      </c>
      <c r="D21" s="191" t="inlineStr">
        <is>
          <t>7P0466</t>
        </is>
      </c>
      <c r="E21" s="190" t="n"/>
      <c r="F21" s="190" t="n"/>
    </row>
    <row r="22">
      <c r="A22" s="188" t="n"/>
      <c r="B22" s="199" t="inlineStr">
        <is>
          <t>T.LAM 418 ( NK 19 | TIPA 312 MET )</t>
        </is>
      </c>
      <c r="C22" s="195" t="inlineStr">
        <is>
          <t xml:space="preserve">Epotal 3675- water based adhesive </t>
        </is>
      </c>
      <c r="D22" s="190" t="n"/>
      <c r="E22" s="190" t="n"/>
      <c r="F22" s="190" t="n"/>
    </row>
    <row r="23">
      <c r="A23" s="188" t="n"/>
      <c r="B23" s="200" t="inlineStr">
        <is>
          <t>T.LAM 428 ( NK | TIPA 312 MET |TIPA 312 MET )</t>
        </is>
      </c>
      <c r="C23" s="195" t="inlineStr">
        <is>
          <t xml:space="preserve">Epotal 3675- water based adhesive </t>
        </is>
      </c>
      <c r="D23" s="190" t="n"/>
      <c r="E23" s="190" t="n"/>
      <c r="F23" s="190" t="n"/>
    </row>
    <row r="24">
      <c r="A24" s="188" t="n"/>
      <c r="B24" s="200" t="inlineStr">
        <is>
          <t>T.LAM 428 ( NK | TIPA 312 MET |TIPA 312 MET )</t>
        </is>
      </c>
      <c r="C24" s="195" t="inlineStr">
        <is>
          <t xml:space="preserve">Epotal 3675- water based adhesive </t>
        </is>
      </c>
      <c r="D24" s="190" t="n"/>
      <c r="E24" s="190" t="n"/>
      <c r="F24" s="190" t="n"/>
    </row>
    <row r="25">
      <c r="A25" s="188" t="n"/>
      <c r="B25" s="199" t="inlineStr">
        <is>
          <t>T.LAM 458 ( NK 30 |TIPA 312 MET )</t>
        </is>
      </c>
      <c r="C25" s="195" t="inlineStr">
        <is>
          <t xml:space="preserve">Epotal 3675- water based adhesive </t>
        </is>
      </c>
      <c r="D25" s="190" t="n"/>
      <c r="E25" s="190" t="n"/>
      <c r="F25" s="190" t="n"/>
    </row>
    <row r="26">
      <c r="A26" s="188" t="n"/>
      <c r="B26" s="201" t="inlineStr">
        <is>
          <t>T.LAM 468 ( NK | TIPA 312 MET | TIPA 312 MET )</t>
        </is>
      </c>
      <c r="C26" s="197" t="inlineStr">
        <is>
          <t xml:space="preserve">Ex Lam </t>
        </is>
      </c>
      <c r="D26" s="190" t="n"/>
      <c r="E26" s="190" t="n"/>
      <c r="F26" s="190" t="n"/>
    </row>
    <row r="27">
      <c r="A27" s="188" t="inlineStr">
        <is>
          <t>BTpI – TIPA 302|NK</t>
        </is>
      </c>
      <c r="B27" s="192" t="inlineStr">
        <is>
          <t>T.LAM 607 ( NK | TIPA 302 )</t>
        </is>
      </c>
      <c r="C27" s="190" t="inlineStr">
        <is>
          <t>Morchem - Solvent based adhesive</t>
        </is>
      </c>
      <c r="D27" s="191" t="inlineStr">
        <is>
          <t>7P0466 \ TA8011601646</t>
        </is>
      </c>
      <c r="E27" s="191" t="n"/>
      <c r="F27" s="190" t="n"/>
    </row>
    <row r="28" ht="15" customHeight="1" s="430">
      <c r="A28" s="188" t="n"/>
      <c r="B28" s="198" t="inlineStr">
        <is>
          <t>T.LAM 608 ( NK | TIPA 302 )</t>
        </is>
      </c>
      <c r="C28" s="202" t="inlineStr">
        <is>
          <t xml:space="preserve">Ex Lam </t>
        </is>
      </c>
      <c r="D28" s="191" t="inlineStr">
        <is>
          <t>7P1587</t>
        </is>
      </c>
      <c r="E28" s="191" t="inlineStr">
        <is>
          <t>9P0152 \ TA8022105619</t>
        </is>
      </c>
      <c r="F28" s="190" t="inlineStr">
        <is>
          <t xml:space="preserve">Finish products </t>
        </is>
      </c>
    </row>
    <row r="29" ht="15" customHeight="1" s="430">
      <c r="A29" s="188" t="n"/>
      <c r="B29" s="199" t="inlineStr">
        <is>
          <t>T.LAM 618 ( NK | TIPA 302 )</t>
        </is>
      </c>
      <c r="C29" s="190" t="inlineStr">
        <is>
          <t xml:space="preserve">Epotal 3675- water based adhesive </t>
        </is>
      </c>
      <c r="D29" s="190" t="n"/>
      <c r="E29" s="190" t="n"/>
      <c r="F29" s="190" t="n"/>
    </row>
    <row r="30" ht="15" customHeight="1" s="430">
      <c r="A30" s="188" t="n"/>
      <c r="B30" s="199" t="inlineStr">
        <is>
          <t>T.LAM 618 W ( NK | TIPA 302 W )</t>
        </is>
      </c>
      <c r="C30" s="190" t="inlineStr">
        <is>
          <t xml:space="preserve">Epotal 3675- water based adhesive </t>
        </is>
      </c>
      <c r="D30" s="190" t="n"/>
      <c r="E30" s="190" t="n"/>
      <c r="F30" s="190" t="n"/>
    </row>
    <row r="31" ht="13.5" customHeight="1" s="430">
      <c r="A31" s="188" t="inlineStr">
        <is>
          <t>BTpFmTp -(TIPA 302|NKME|TIPA 302)</t>
        </is>
      </c>
      <c r="B31" s="189" t="inlineStr">
        <is>
          <t>T.LAM 802 ( TIPA 302 | NKME | TIPA 302 )</t>
        </is>
      </c>
      <c r="C31" s="203" t="inlineStr">
        <is>
          <t>Morchem - Solvent based adhesive</t>
        </is>
      </c>
      <c r="D31" s="191" t="inlineStr">
        <is>
          <t>7P0466</t>
        </is>
      </c>
      <c r="E31" s="190" t="n"/>
      <c r="F31" s="190" t="n"/>
    </row>
    <row r="32">
      <c r="A32" s="188" t="inlineStr">
        <is>
          <t>BTpTpF -TIPA 302|TIPA 302|NK</t>
        </is>
      </c>
      <c r="B32" s="189" t="inlineStr">
        <is>
          <t>T.LAM 803 ( TIPA 302 | TIPA 302 | NK )</t>
        </is>
      </c>
      <c r="C32" s="203" t="inlineStr">
        <is>
          <t>Morchem - Solvent based adhesive</t>
        </is>
      </c>
      <c r="D32" s="191" t="inlineStr">
        <is>
          <t>7P0466</t>
        </is>
      </c>
      <c r="E32" s="190" t="n"/>
      <c r="F32" s="190" t="n"/>
    </row>
    <row r="33">
      <c r="A33" s="188" t="inlineStr">
        <is>
          <t>BTpMF -TIPA 302|PLA-PVOH|NK</t>
        </is>
      </c>
      <c r="B33" s="189" t="inlineStr">
        <is>
          <t>T.LAM 804 ( TIPA 302| PLA-PVOH | NK )</t>
        </is>
      </c>
      <c r="C33" s="203" t="inlineStr">
        <is>
          <t>Morchem - Solvent based adhesive</t>
        </is>
      </c>
      <c r="D33" s="191" t="inlineStr">
        <is>
          <t>7P0466</t>
        </is>
      </c>
      <c r="E33" s="190" t="n"/>
      <c r="F33" s="190" t="n"/>
    </row>
    <row r="34">
      <c r="A34" s="188" t="inlineStr">
        <is>
          <t>BTpFmP – TIPA 302|NM|Paper (Paperwise)</t>
        </is>
      </c>
      <c r="B34" s="189" t="inlineStr">
        <is>
          <t>T.LAM 805  (TIPA 302 | NM | Paperwise )</t>
        </is>
      </c>
      <c r="C34" s="190" t="inlineStr">
        <is>
          <t>Morchem - Solvent based adhesive</t>
        </is>
      </c>
      <c r="D34" s="191" t="inlineStr">
        <is>
          <t>7P0466</t>
        </is>
      </c>
      <c r="E34" s="191" t="n"/>
      <c r="F34" s="190" t="inlineStr">
        <is>
          <t xml:space="preserve">regulatory similar to T.LAM 200 </t>
        </is>
      </c>
    </row>
    <row r="35">
      <c r="A35" s="188" t="inlineStr">
        <is>
          <t>BTpFFmt - TIPA 312|NK|NK matt</t>
        </is>
      </c>
      <c r="B35" s="189" t="inlineStr">
        <is>
          <t>T.LAM 807M ( TIPA 312 | NK | NK matt )</t>
        </is>
      </c>
      <c r="C35" s="190" t="inlineStr">
        <is>
          <t>Morchem - Solvent based adhesive</t>
        </is>
      </c>
      <c r="D35" s="191" t="inlineStr">
        <is>
          <t>7P0466</t>
        </is>
      </c>
      <c r="E35" s="190" t="n"/>
      <c r="F35" s="190" t="n"/>
    </row>
    <row r="36">
      <c r="A36" s="188" t="inlineStr">
        <is>
          <t>BTpwFmPkw - TIPA TIPA 302 white|NM |paper kraft white</t>
        </is>
      </c>
      <c r="B36" s="189" t="inlineStr">
        <is>
          <t>T.LAM 808 ( TIPA 302 White | NM | Paperwise )</t>
        </is>
      </c>
      <c r="C36" s="190" t="inlineStr">
        <is>
          <t>Morchem - Solvent based adhesive</t>
        </is>
      </c>
      <c r="D36" s="191" t="inlineStr">
        <is>
          <t>7P0466</t>
        </is>
      </c>
      <c r="E36" s="190" t="n"/>
      <c r="F36" s="190" t="n"/>
    </row>
    <row r="37">
      <c r="A37" s="188" t="inlineStr">
        <is>
          <t>BTpwmF - TIPA 312 metalized white |NK</t>
        </is>
      </c>
      <c r="B37" s="189" t="inlineStr">
        <is>
          <t>T.LAM 809 ( TIPA 312 MET White  | NK )</t>
        </is>
      </c>
      <c r="C37" s="190" t="inlineStr">
        <is>
          <t>Morchem - Solvent based adhesive</t>
        </is>
      </c>
      <c r="D37" s="191" t="inlineStr">
        <is>
          <t>7P0466</t>
        </is>
      </c>
      <c r="E37" s="190" t="n"/>
      <c r="F37" s="190" t="n"/>
    </row>
    <row r="38">
      <c r="A38" s="188" t="inlineStr">
        <is>
          <t>BTpwmPkw- TIPA 312 metalized white with paper kraft white</t>
        </is>
      </c>
      <c r="B38" s="189" t="inlineStr">
        <is>
          <t>T.LAM 810 ( TIPA 312 MET White  |  Paperwise )</t>
        </is>
      </c>
      <c r="C38" s="190" t="inlineStr">
        <is>
          <t>Morchem - Solvent based adhesive</t>
        </is>
      </c>
      <c r="D38" s="191" t="inlineStr">
        <is>
          <t>7P0466</t>
        </is>
      </c>
      <c r="E38" s="190" t="n"/>
      <c r="F38" s="190" t="n"/>
    </row>
    <row r="39">
      <c r="A39" s="188" t="inlineStr">
        <is>
          <t xml:space="preserve">BTpFmF – TIPA 302|NM|NK </t>
        </is>
      </c>
      <c r="B39" s="189" t="inlineStr">
        <is>
          <t>T.LAM 811 ( TIPA 302 | NM | NK )</t>
        </is>
      </c>
      <c r="C39" s="190" t="inlineStr">
        <is>
          <t>Morchem - Solvent based adhesive</t>
        </is>
      </c>
      <c r="D39" s="191" t="inlineStr">
        <is>
          <t>7P0466</t>
        </is>
      </c>
      <c r="E39" s="191" t="n"/>
      <c r="F39" s="190" t="inlineStr">
        <is>
          <t>regulatory similar to T.LAM 106</t>
        </is>
      </c>
    </row>
    <row r="40">
      <c r="A40" s="188" t="inlineStr">
        <is>
          <t xml:space="preserve">BTpFmFmt - TIPA 302|NKME|NK matt </t>
        </is>
      </c>
      <c r="B40" s="189" t="inlineStr">
        <is>
          <t>T.LAM 811M ( TIPA 302 | NM | NK matt )</t>
        </is>
      </c>
      <c r="C40" s="190" t="inlineStr">
        <is>
          <t>Morchem - Solvent based adhesive</t>
        </is>
      </c>
      <c r="D40" s="191" t="inlineStr">
        <is>
          <t>7P0466</t>
        </is>
      </c>
      <c r="E40" s="190" t="n"/>
      <c r="F40" s="190" t="inlineStr">
        <is>
          <t>regulatory similar to T.LAM 106M</t>
        </is>
      </c>
    </row>
    <row r="41" ht="17.25" customHeight="1" s="430">
      <c r="A41" s="188" t="inlineStr">
        <is>
          <t>BTpFP – TIPA 302|NK|Paper</t>
        </is>
      </c>
      <c r="B41" s="189" t="inlineStr">
        <is>
          <t>T.LAM 812 ( TIPA 302 | NK | Paperwise )</t>
        </is>
      </c>
      <c r="C41" s="190" t="inlineStr">
        <is>
          <t>Morchem - Solvent based adhesive</t>
        </is>
      </c>
      <c r="D41" s="191" t="inlineStr">
        <is>
          <t>7P0466</t>
        </is>
      </c>
      <c r="E41" s="191" t="n"/>
      <c r="F41" s="190" t="inlineStr">
        <is>
          <t xml:space="preserve">regulatory similar to T.LAM 202 </t>
        </is>
      </c>
    </row>
    <row r="42">
      <c r="A42" s="188" t="inlineStr">
        <is>
          <t>BTpFF – TIPA 302|NK|NK</t>
        </is>
      </c>
      <c r="B42" s="189" t="inlineStr">
        <is>
          <t xml:space="preserve">T.LAM 813 ( TIPA 302 | NK | NK ) </t>
        </is>
      </c>
      <c r="C42" s="190" t="inlineStr">
        <is>
          <t>Morchem - Solvent based adhesive</t>
        </is>
      </c>
      <c r="D42" s="191" t="inlineStr">
        <is>
          <t>7P0466</t>
        </is>
      </c>
      <c r="E42" s="191" t="n"/>
      <c r="F42" s="190" t="inlineStr">
        <is>
          <t xml:space="preserve"> regulatory similar to T.LAM 604 </t>
        </is>
      </c>
    </row>
    <row r="43">
      <c r="A43" s="188" t="inlineStr">
        <is>
          <t>BTpFFmt- TIPA TIPA 302|NK|NK matt</t>
        </is>
      </c>
      <c r="B43" s="189" t="inlineStr">
        <is>
          <t xml:space="preserve">T.LAM 813M ( TIPA 302 | NK | NK matt ) </t>
        </is>
      </c>
      <c r="C43" s="190" t="inlineStr">
        <is>
          <t>Morchem - Solvent based adhesive</t>
        </is>
      </c>
      <c r="D43" s="191" t="inlineStr">
        <is>
          <t>7P0466</t>
        </is>
      </c>
      <c r="E43" s="190" t="n"/>
      <c r="F43" s="190" t="inlineStr">
        <is>
          <t>regulatory similar to T.LAM 604M</t>
        </is>
      </c>
    </row>
    <row r="44">
      <c r="A44" s="188" t="inlineStr">
        <is>
          <t>BTpFmFm -TIPA 302|NM|NM / TIPA 302|NKME|NKME</t>
        </is>
      </c>
      <c r="B44" s="189" t="inlineStr">
        <is>
          <t>T.LAM 814 ( TIPA 302 | NM | NM )</t>
        </is>
      </c>
      <c r="C44" s="190" t="inlineStr">
        <is>
          <t>Morchem - Solvent based adhesive</t>
        </is>
      </c>
      <c r="D44" s="191" t="inlineStr">
        <is>
          <t>7P0466</t>
        </is>
      </c>
      <c r="E44" s="190" t="n"/>
      <c r="F44" s="190" t="inlineStr">
        <is>
          <t>regulatory similar to T.LAM 506</t>
        </is>
      </c>
    </row>
    <row r="45">
      <c r="A45" s="188" t="inlineStr">
        <is>
          <t>Coffee capsule lid laminate - HC (paper |NK | 312 ALX)</t>
        </is>
      </c>
      <c r="B45" s="192" t="inlineStr">
        <is>
          <t>T.LAM 815 - Coffee capsule lid laminate - HC (paper |NK | 312 ALX)</t>
        </is>
      </c>
      <c r="C45" s="190" t="n"/>
      <c r="D45" s="191" t="n"/>
      <c r="E45" s="190" t="n"/>
      <c r="F45" s="190" t="n"/>
    </row>
    <row r="46">
      <c r="A46" s="188" t="inlineStr">
        <is>
          <t>BTpFmt - TIPA 302|NK matt</t>
        </is>
      </c>
      <c r="B46" s="192" t="inlineStr">
        <is>
          <t>T.LAM 816M ( TIPA 302 | NK matt )</t>
        </is>
      </c>
      <c r="C46" s="190" t="inlineStr">
        <is>
          <t>Morchem - Solvent based adhesive</t>
        </is>
      </c>
      <c r="D46" s="191" t="inlineStr">
        <is>
          <t>7P0466</t>
        </is>
      </c>
      <c r="E46" s="190" t="n"/>
      <c r="F46" s="190" t="inlineStr">
        <is>
          <t>regulatory similar to T.LAM 607M - not a TIPA product anymore</t>
        </is>
      </c>
    </row>
    <row r="47">
      <c r="A47" s="188" t="inlineStr">
        <is>
          <t xml:space="preserve">BTpFmPk 115 - TIPA TIPA 302|NM|Kraft Brown Paper  </t>
        </is>
      </c>
      <c r="B47" s="192" t="inlineStr">
        <is>
          <t>T.LAM 817 ( TIPA 302 | NM | Billerud Kraft Brown Paper )</t>
        </is>
      </c>
      <c r="C47" s="190" t="inlineStr">
        <is>
          <t xml:space="preserve">Epotal 3675- water based adhesive </t>
        </is>
      </c>
      <c r="D47" s="194" t="n"/>
      <c r="E47" s="191" t="n"/>
      <c r="F47" s="190" t="inlineStr">
        <is>
          <t>Metalized Laminate</t>
        </is>
      </c>
    </row>
    <row r="48">
      <c r="A48" s="188" t="inlineStr">
        <is>
          <t xml:space="preserve">BTpFmPkw 98 -  TIPA TIPA 302|NM|Kraft White Paper </t>
        </is>
      </c>
      <c r="B48" s="192" t="inlineStr">
        <is>
          <t>T.LAM 818  ( TIPA 302 | NM | Billerud Kraft White Paper )</t>
        </is>
      </c>
      <c r="C48" s="190" t="inlineStr">
        <is>
          <t xml:space="preserve">Epotal 3675- water based adhesive </t>
        </is>
      </c>
      <c r="D48" s="194" t="n"/>
      <c r="E48" s="191" t="n"/>
      <c r="F48" s="190" t="inlineStr">
        <is>
          <t>Metalized Laminate</t>
        </is>
      </c>
    </row>
    <row r="49">
      <c r="A49" s="188" t="n"/>
      <c r="B49" s="192" t="inlineStr">
        <is>
          <t>T.LAM 818W  (TIPA 302 White| NM |Billerud Kraft White Paper)</t>
        </is>
      </c>
      <c r="C49" s="190" t="inlineStr">
        <is>
          <t xml:space="preserve">Epotal 3675- water based adhesive </t>
        </is>
      </c>
      <c r="D49" s="194" t="n"/>
      <c r="E49" s="191" t="n"/>
      <c r="F49" s="190" t="n"/>
    </row>
    <row r="50">
      <c r="A50" s="188" t="inlineStr">
        <is>
          <t xml:space="preserve">BTpFPkw - TIPA 302|NK|Kraft White Paper </t>
        </is>
      </c>
      <c r="B50" s="192" t="inlineStr">
        <is>
          <t>T.LAM 819 ( TIPA 302 | NK | Billerud Kraft White Paper)</t>
        </is>
      </c>
      <c r="C50" s="190" t="inlineStr">
        <is>
          <t xml:space="preserve">Epotal 3675- water based adhesive </t>
        </is>
      </c>
      <c r="D50" s="194" t="n"/>
      <c r="E50" s="191" t="inlineStr">
        <is>
          <t>9P0044 \ TA8021601768</t>
        </is>
      </c>
      <c r="F50" s="190" t="n"/>
    </row>
    <row r="51">
      <c r="A51" s="188" t="inlineStr">
        <is>
          <t>BTpFPk -  TIPA TIPA 302|NK|Kraft Brown Paper</t>
        </is>
      </c>
      <c r="B51" s="199" t="inlineStr">
        <is>
          <t>T.LAM 820 ( TIPA 302 | NK | Billerud Kraft Brown Paper )</t>
        </is>
      </c>
      <c r="C51" s="190" t="inlineStr">
        <is>
          <t xml:space="preserve">Epotal 3675- water based adhesive </t>
        </is>
      </c>
      <c r="D51" s="194" t="n"/>
      <c r="E51" s="191" t="inlineStr">
        <is>
          <t>9P0044 \ TA8021601768</t>
        </is>
      </c>
      <c r="F51" s="190" t="n"/>
    </row>
    <row r="52">
      <c r="A52" s="188" t="inlineStr">
        <is>
          <t>BTpFF – TIPA 302|NK|NK</t>
        </is>
      </c>
      <c r="B52" s="199" t="inlineStr">
        <is>
          <t>T.LAM 821 ( TIPA 302 | NK | NK )</t>
        </is>
      </c>
      <c r="C52" s="190" t="inlineStr">
        <is>
          <t xml:space="preserve">Epotal 3675- water based adhesive </t>
        </is>
      </c>
      <c r="D52" s="194" t="n"/>
      <c r="E52" s="191" t="inlineStr">
        <is>
          <t xml:space="preserve">9P0044 </t>
        </is>
      </c>
      <c r="F52" s="190" t="n"/>
    </row>
    <row r="53">
      <c r="A53" s="188" t="inlineStr">
        <is>
          <t>BTpFF – TIPA 302|NK|NK</t>
        </is>
      </c>
      <c r="B53" s="199" t="inlineStr">
        <is>
          <t>T.LAM 821M ( TIPA 302 | NK | NK Matt)</t>
        </is>
      </c>
      <c r="C53" s="190" t="inlineStr">
        <is>
          <t xml:space="preserve">Epotal 3675- water based adhesive </t>
        </is>
      </c>
      <c r="D53" s="194" t="n"/>
      <c r="E53" s="191" t="n"/>
      <c r="F53" s="190" t="n"/>
    </row>
    <row r="54">
      <c r="A54" s="188" t="n"/>
      <c r="B54" s="192" t="inlineStr">
        <is>
          <t>T.LAM 822 ( TIPA 312 MET | NK | NK )</t>
        </is>
      </c>
      <c r="C54" s="190" t="inlineStr">
        <is>
          <t xml:space="preserve">Epotal 3675- water based adhesive </t>
        </is>
      </c>
      <c r="D54" s="194" t="n"/>
      <c r="E54" s="190" t="n"/>
      <c r="F54" s="190" t="n"/>
    </row>
    <row r="55">
      <c r="A55" s="188" t="n"/>
      <c r="B55" s="192" t="inlineStr">
        <is>
          <t>T.LAM 822M ( TIPA 312 MET | NK | NK matt)</t>
        </is>
      </c>
      <c r="C55" s="190" t="inlineStr">
        <is>
          <t xml:space="preserve">Epotal 3675- water based adhesive </t>
        </is>
      </c>
      <c r="D55" s="194" t="n"/>
      <c r="E55" s="190" t="n"/>
      <c r="F55" s="190" t="n"/>
    </row>
    <row r="56">
      <c r="A56" s="188" t="n"/>
      <c r="B56" s="192" t="inlineStr">
        <is>
          <t>T.LAM 823 ( TIPA 312 MET | NK | Billerud White paper )</t>
        </is>
      </c>
      <c r="C56" s="190" t="inlineStr">
        <is>
          <t xml:space="preserve">Epotal 3675- water based adhesive </t>
        </is>
      </c>
      <c r="D56" s="194" t="n"/>
      <c r="E56" s="190" t="n"/>
      <c r="F56" s="190" t="n"/>
    </row>
    <row r="57">
      <c r="A57" s="188" t="n"/>
      <c r="B57" s="192" t="inlineStr">
        <is>
          <t>T.LAM 823W ( TIPA 312 MET White | NK or NKR | Billerud White paper)</t>
        </is>
      </c>
      <c r="C57" s="190" t="inlineStr">
        <is>
          <t xml:space="preserve">Epotal 3675- water based adhesive </t>
        </is>
      </c>
      <c r="D57" s="194" t="n"/>
      <c r="E57" s="190" t="n"/>
      <c r="F57" s="190" t="n"/>
    </row>
    <row r="58">
      <c r="A58" s="188" t="n"/>
      <c r="B58" s="192" t="inlineStr">
        <is>
          <t>T.LAM 824 ( TIPA 312 MET | NK or NKR | Billerud Brown paper)</t>
        </is>
      </c>
      <c r="C58" s="190" t="inlineStr">
        <is>
          <t xml:space="preserve">Epotal 3675- water based adhesive </t>
        </is>
      </c>
      <c r="D58" s="194" t="n"/>
      <c r="E58" s="190" t="n"/>
      <c r="F58" s="190" t="n"/>
    </row>
    <row r="59">
      <c r="A59" s="188" t="inlineStr">
        <is>
          <t xml:space="preserve">BTpmFmF </t>
        </is>
      </c>
      <c r="B59" s="192" t="inlineStr">
        <is>
          <t>T.LAM 825 ( TIPA 312 MET | NM | NK )</t>
        </is>
      </c>
      <c r="C59" s="190" t="inlineStr">
        <is>
          <t xml:space="preserve">Epotal 3675- water based adhesive </t>
        </is>
      </c>
      <c r="D59" s="194" t="n"/>
      <c r="E59" s="190" t="n"/>
      <c r="F59" s="190" t="n"/>
    </row>
    <row r="60">
      <c r="A60" s="188" t="inlineStr">
        <is>
          <t xml:space="preserve">BTpmFmFmt </t>
        </is>
      </c>
      <c r="B60" s="192" t="inlineStr">
        <is>
          <t>T.LAM 825M ( TIPA 312 MET | NM | NK matt )</t>
        </is>
      </c>
      <c r="C60" s="190" t="inlineStr">
        <is>
          <t xml:space="preserve">Epotal 3675- water based adhesive </t>
        </is>
      </c>
      <c r="D60" s="194" t="n"/>
      <c r="E60" s="190" t="n"/>
      <c r="F60" s="190" t="n"/>
    </row>
    <row r="61">
      <c r="A61" s="188" t="n"/>
      <c r="B61" s="204" t="inlineStr">
        <is>
          <t>T.LAM 825W ( TIPA 312 MET White | NM | NK  )</t>
        </is>
      </c>
      <c r="C61" s="190" t="inlineStr">
        <is>
          <t xml:space="preserve">Epotal 3675- water based adhesive </t>
        </is>
      </c>
      <c r="D61" s="190" t="n"/>
      <c r="E61" s="190" t="n"/>
      <c r="F61" s="190" t="n"/>
    </row>
    <row r="62">
      <c r="A62" s="188" t="n"/>
      <c r="B62" s="192" t="inlineStr">
        <is>
          <t>T.LAM 826 ( TIPA 312 MET | NM | Billerud White paper )</t>
        </is>
      </c>
      <c r="C62" s="190" t="inlineStr">
        <is>
          <t xml:space="preserve">Epotal 3675- water based adhesive </t>
        </is>
      </c>
      <c r="D62" s="194" t="n"/>
      <c r="E62" s="190" t="n"/>
      <c r="F62" s="190" t="n"/>
    </row>
    <row r="63">
      <c r="A63" s="188" t="n"/>
      <c r="B63" s="192" t="inlineStr">
        <is>
          <t>T.LAM 827 ( TIPA 312 MET | NM | Billerud Brown paper )</t>
        </is>
      </c>
      <c r="C63" s="190" t="inlineStr">
        <is>
          <t xml:space="preserve">Epotal 3675- water based adhesive </t>
        </is>
      </c>
      <c r="D63" s="194" t="n"/>
      <c r="E63" s="190" t="n"/>
      <c r="F63" s="190" t="n"/>
    </row>
    <row r="64">
      <c r="A64" s="188" t="n"/>
      <c r="B64" s="192" t="inlineStr">
        <is>
          <t>T.LAM 828 ( TIPA 312 ALX | NK | NK )</t>
        </is>
      </c>
      <c r="C64" s="190" t="inlineStr">
        <is>
          <t xml:space="preserve">Epotal 3675- water based adhesive </t>
        </is>
      </c>
      <c r="D64" s="194" t="n"/>
      <c r="E64" s="190" t="n"/>
      <c r="F64" s="190" t="n"/>
    </row>
    <row r="65">
      <c r="A65" s="188" t="n"/>
      <c r="B65" s="192" t="inlineStr">
        <is>
          <t>T.LAM 828M ( TIPA 312 ALX | NK | NK matt )</t>
        </is>
      </c>
      <c r="C65" s="190" t="inlineStr">
        <is>
          <t xml:space="preserve">Epotal 3675- water based adhesive </t>
        </is>
      </c>
      <c r="D65" s="194" t="n"/>
      <c r="E65" s="190" t="n"/>
      <c r="F65" s="190" t="n"/>
    </row>
    <row r="66">
      <c r="A66" s="188" t="n"/>
      <c r="B66" s="192" t="inlineStr">
        <is>
          <t>T.LAM 829 ( TIPA 312 ALX  | NK | Billerud White paper )</t>
        </is>
      </c>
      <c r="C66" s="190" t="inlineStr">
        <is>
          <t xml:space="preserve">Epotal 3675- water based adhesive </t>
        </is>
      </c>
      <c r="D66" s="194" t="n"/>
      <c r="E66" s="190" t="n"/>
      <c r="F66" s="190" t="n"/>
    </row>
    <row r="67">
      <c r="A67" s="188" t="n"/>
      <c r="B67" s="192" t="inlineStr">
        <is>
          <t>T.LAM 830 ( TIPA 312 ALX  | NK  | Billerud Brown paper )</t>
        </is>
      </c>
      <c r="C67" s="190" t="inlineStr">
        <is>
          <t xml:space="preserve">Epotal 3675- water based adhesive </t>
        </is>
      </c>
      <c r="D67" s="194" t="n"/>
      <c r="E67" s="190" t="n"/>
      <c r="F67" s="190" t="n"/>
    </row>
    <row r="68">
      <c r="A68" s="188" t="n"/>
      <c r="B68" s="192" t="inlineStr">
        <is>
          <t>T.LAM 831 ( TIPA 312 ALX  | NM | NK )</t>
        </is>
      </c>
      <c r="C68" s="190" t="inlineStr">
        <is>
          <t xml:space="preserve">Epotal 3675- water based adhesive </t>
        </is>
      </c>
      <c r="D68" s="194" t="n"/>
      <c r="E68" s="190" t="n"/>
      <c r="F68" s="190" t="n"/>
    </row>
    <row r="69">
      <c r="A69" s="188" t="n"/>
      <c r="B69" s="192" t="inlineStr">
        <is>
          <t>T.LAM 831M ( TIPA 312 ALX  | NM | NK matt )</t>
        </is>
      </c>
      <c r="C69" s="190" t="inlineStr">
        <is>
          <t xml:space="preserve">Epotal 3675- water based adhesive </t>
        </is>
      </c>
      <c r="D69" s="194" t="n"/>
      <c r="E69" s="190" t="n"/>
      <c r="F69" s="190" t="n"/>
    </row>
    <row r="70">
      <c r="A70" s="188" t="n"/>
      <c r="B70" s="192" t="inlineStr">
        <is>
          <t>T.LAM 832 ( TIPA 312 ALX  | NM | Billerud Kraft White paper )</t>
        </is>
      </c>
      <c r="C70" s="190" t="inlineStr">
        <is>
          <t xml:space="preserve">Epotal 3675- water based adhesive </t>
        </is>
      </c>
      <c r="D70" s="194" t="n"/>
      <c r="E70" s="190" t="n"/>
      <c r="F70" s="190" t="n"/>
    </row>
    <row r="71">
      <c r="A71" s="188" t="n"/>
      <c r="B71" s="192" t="inlineStr">
        <is>
          <t>T.LAM 833 ( TIPA 312 ALX  | NM | Billerud Kraft Brown paper )</t>
        </is>
      </c>
      <c r="C71" s="190" t="inlineStr">
        <is>
          <t xml:space="preserve">Epotal 3675- water based adhesive </t>
        </is>
      </c>
      <c r="D71" s="194" t="n"/>
      <c r="E71" s="190" t="n"/>
      <c r="F71" s="190" t="n"/>
    </row>
    <row r="72" ht="15" customHeight="1" s="430">
      <c r="A72" s="188" t="inlineStr">
        <is>
          <t>BTpmPkw</t>
        </is>
      </c>
      <c r="B72" s="204" t="inlineStr">
        <is>
          <t>T.LAM 834 ( TIPA 312 MET |  Billerud Kraft White paper )</t>
        </is>
      </c>
      <c r="C72" s="190" t="inlineStr">
        <is>
          <t xml:space="preserve">Epotal 3675- water based adhesive </t>
        </is>
      </c>
      <c r="D72" s="194" t="n"/>
      <c r="E72" s="190" t="n"/>
      <c r="F72" s="190" t="n"/>
    </row>
    <row r="73" ht="15.75" customHeight="1" s="430">
      <c r="A73" s="188" t="inlineStr">
        <is>
          <t>BTpmPk75</t>
        </is>
      </c>
      <c r="B73" s="199" t="inlineStr">
        <is>
          <t>T.LAM 835 ( TIPA 312 MET | Billerud Kraft Brown paper )</t>
        </is>
      </c>
      <c r="C73" s="190" t="inlineStr">
        <is>
          <t xml:space="preserve">Epotal 3675- water based adhesive </t>
        </is>
      </c>
      <c r="D73" s="194" t="n"/>
      <c r="E73" s="190" t="n"/>
      <c r="F73" s="190" t="n"/>
    </row>
    <row r="74">
      <c r="A74" s="188" t="n"/>
      <c r="B74" s="192" t="inlineStr">
        <is>
          <t>T.LAM 836 ( TIPA 302 | NM | NK )</t>
        </is>
      </c>
      <c r="C74" s="190" t="inlineStr">
        <is>
          <t xml:space="preserve">Epotal 3675- water based adhesive </t>
        </is>
      </c>
      <c r="D74" s="194" t="n"/>
      <c r="E74" s="190" t="n"/>
      <c r="F74" s="190" t="n"/>
    </row>
    <row r="75">
      <c r="A75" s="188" t="n"/>
      <c r="B75" s="192" t="inlineStr">
        <is>
          <t>T.LAM 836M ( TIPA 302 | NM | NK matt )</t>
        </is>
      </c>
      <c r="C75" s="190" t="inlineStr">
        <is>
          <t xml:space="preserve">Epotal 3675- water based adhesive </t>
        </is>
      </c>
      <c r="D75" s="194" t="n"/>
      <c r="E75" s="190" t="n"/>
      <c r="F75" s="190" t="n"/>
    </row>
    <row r="76">
      <c r="A76" s="188" t="n"/>
      <c r="B76" s="192" t="inlineStr">
        <is>
          <t>T.LAM 836W ( TIPA 302 W | NM |NK )</t>
        </is>
      </c>
      <c r="C76" s="190" t="inlineStr">
        <is>
          <t xml:space="preserve">Epotal 3675- water based adhesive </t>
        </is>
      </c>
      <c r="D76" s="194" t="n"/>
      <c r="E76" s="190" t="n"/>
      <c r="F76" s="190" t="n"/>
    </row>
    <row r="77">
      <c r="A77" s="188" t="n"/>
      <c r="B77" s="192" t="inlineStr">
        <is>
          <t>T.LAM 837 ( TIPA 312 | NK | NK )</t>
        </is>
      </c>
      <c r="C77" s="190" t="inlineStr">
        <is>
          <t xml:space="preserve">Epotal 3675- water based adhesive </t>
        </is>
      </c>
      <c r="D77" s="190" t="n"/>
      <c r="E77" s="190" t="n"/>
      <c r="F77" s="190" t="n"/>
    </row>
    <row r="78">
      <c r="A78" s="188" t="n"/>
      <c r="B78" s="192" t="inlineStr">
        <is>
          <t>T.LAM 837M ( TIPA 312 | NK | NK matt)</t>
        </is>
      </c>
      <c r="C78" s="190" t="inlineStr">
        <is>
          <t xml:space="preserve">Epotal 3675- water based adhesive </t>
        </is>
      </c>
      <c r="D78" s="190" t="n"/>
      <c r="E78" s="190" t="n"/>
      <c r="F78" s="190" t="n"/>
    </row>
    <row r="79">
      <c r="A79" s="188" t="n"/>
      <c r="B79" s="192" t="inlineStr">
        <is>
          <t>T.LAM 838 ( TIPA 312 | NK | Billerud Kraft White paper )</t>
        </is>
      </c>
      <c r="C79" s="190" t="inlineStr">
        <is>
          <t xml:space="preserve">Epotal 3675- water based adhesive </t>
        </is>
      </c>
      <c r="D79" s="190" t="n"/>
      <c r="E79" s="190" t="n"/>
      <c r="F79" s="190" t="n"/>
    </row>
    <row r="80">
      <c r="A80" s="188" t="n"/>
      <c r="B80" s="192" t="inlineStr">
        <is>
          <t>T.LAM 839 ( TIPA 312 | NK | Billerud Kraft Brown paper )</t>
        </is>
      </c>
      <c r="C80" s="190" t="inlineStr">
        <is>
          <t xml:space="preserve">Epotal 3675- water based adhesive </t>
        </is>
      </c>
      <c r="D80" s="190" t="n"/>
      <c r="E80" s="190" t="n"/>
      <c r="F80" s="190" t="n"/>
    </row>
    <row r="81">
      <c r="A81" s="188" t="n"/>
      <c r="B81" s="204" t="inlineStr">
        <is>
          <t>T.LAM 840 ( TIPA 302 | NK | Paperwise )</t>
        </is>
      </c>
      <c r="C81" s="190" t="inlineStr">
        <is>
          <t xml:space="preserve">Epotal 3675- water based adhesive </t>
        </is>
      </c>
      <c r="D81" s="190" t="n"/>
      <c r="E81" s="190" t="n"/>
      <c r="F81" s="190" t="n"/>
    </row>
    <row r="82">
      <c r="A82" s="188" t="n"/>
      <c r="B82" s="204" t="inlineStr">
        <is>
          <t>T.LAM 841 ( TIPA 302 | TIPA 312 MET | NK )</t>
        </is>
      </c>
      <c r="C82" s="190" t="inlineStr">
        <is>
          <t xml:space="preserve">Epotal 3675- water based adhesive </t>
        </is>
      </c>
      <c r="D82" s="190" t="n"/>
      <c r="E82" s="190" t="n"/>
      <c r="F82" s="190" t="n"/>
    </row>
    <row r="83">
      <c r="A83" s="188" t="n"/>
      <c r="B83" s="204" t="inlineStr">
        <is>
          <t>T.LAM 841M ( TIPA 302 | TIPA 312 MET |NK matt )</t>
        </is>
      </c>
      <c r="C83" s="190" t="inlineStr">
        <is>
          <t xml:space="preserve">Epotal 3675- water based adhesive </t>
        </is>
      </c>
      <c r="D83" s="190" t="n"/>
      <c r="E83" s="190" t="n"/>
      <c r="F83" s="190" t="n"/>
    </row>
    <row r="84">
      <c r="A84" s="188" t="n"/>
      <c r="B84" s="204" t="inlineStr">
        <is>
          <t>T.LAM 842 ( TIPA 302 |TIPA 312 MET | Billerud Kraft White paper )</t>
        </is>
      </c>
      <c r="C84" s="190" t="inlineStr">
        <is>
          <t xml:space="preserve">Epotal 3675- water based adhesive </t>
        </is>
      </c>
      <c r="D84" s="190" t="n"/>
      <c r="E84" s="190" t="n"/>
      <c r="F84" s="190" t="n"/>
    </row>
    <row r="85">
      <c r="A85" s="188" t="n"/>
      <c r="B85" s="204" t="inlineStr">
        <is>
          <t>T.LAM 843 ( TIPA 302 | TIPA 312 MET | Billerud Kraft Brown paper )</t>
        </is>
      </c>
      <c r="C85" s="190" t="inlineStr">
        <is>
          <t xml:space="preserve">Epotal 3675- water based adhesive </t>
        </is>
      </c>
      <c r="D85" s="190" t="n"/>
      <c r="E85" s="190" t="n"/>
      <c r="F85" s="190" t="n"/>
    </row>
    <row r="86">
      <c r="A86" s="188" t="n"/>
      <c r="B86" s="204" t="inlineStr">
        <is>
          <t>T.LAM 844 (TIPA 302 | TIPA 312 MET | Paperwise )</t>
        </is>
      </c>
      <c r="C86" s="190" t="inlineStr">
        <is>
          <t xml:space="preserve">Epotal 3675- water based adhesive </t>
        </is>
      </c>
      <c r="D86" s="190" t="n"/>
      <c r="E86" s="190" t="n"/>
      <c r="F86" s="190" t="n"/>
    </row>
    <row r="87">
      <c r="A87" s="188" t="n"/>
      <c r="B87" s="204" t="inlineStr">
        <is>
          <t>T.LAM 845 ( TIPA 302 | NM | Paperwise)</t>
        </is>
      </c>
      <c r="C87" s="190" t="inlineStr">
        <is>
          <t xml:space="preserve">Epotal 3675- water based adhesive </t>
        </is>
      </c>
      <c r="D87" s="190" t="n"/>
      <c r="E87" s="190" t="n"/>
      <c r="F87" s="190" t="n"/>
    </row>
    <row r="88">
      <c r="A88" s="188" t="n"/>
      <c r="B88" s="204" t="inlineStr">
        <is>
          <t>T.LAM 846 ( TIPA 312 | NK | Paperwise )</t>
        </is>
      </c>
      <c r="C88" s="190" t="inlineStr">
        <is>
          <t xml:space="preserve">Epotal 3675- water based adhesive </t>
        </is>
      </c>
      <c r="D88" s="190" t="n"/>
      <c r="E88" s="190" t="n"/>
      <c r="F88" s="190" t="n"/>
    </row>
    <row r="89">
      <c r="A89" s="188" t="n"/>
      <c r="B89" s="204" t="inlineStr">
        <is>
          <t>T.LAM 847 ( TIPA 312 | TIPA 312 met | NK )</t>
        </is>
      </c>
      <c r="C89" s="190" t="inlineStr">
        <is>
          <t xml:space="preserve">Epotal 3675- water based adhesive </t>
        </is>
      </c>
      <c r="D89" s="190" t="n"/>
      <c r="E89" s="190" t="n"/>
      <c r="F89" s="190" t="n"/>
    </row>
    <row r="90">
      <c r="A90" s="188" t="n"/>
      <c r="B90" s="204" t="inlineStr">
        <is>
          <t>T.LAM 847M ( TIPA 312 | TIPA 312 MET | NK matt )</t>
        </is>
      </c>
      <c r="C90" s="190" t="inlineStr">
        <is>
          <t xml:space="preserve">Epotal 3675- water based adhesive </t>
        </is>
      </c>
      <c r="D90" s="190" t="n"/>
      <c r="E90" s="190" t="n"/>
      <c r="F90" s="190" t="n"/>
    </row>
    <row r="91">
      <c r="A91" s="188" t="n"/>
      <c r="B91" s="204" t="inlineStr">
        <is>
          <t>T.LAM 848 ( TIPA 312 | TIPA 312 MET | Billerud Kraft White paper )</t>
        </is>
      </c>
      <c r="C91" s="190" t="inlineStr">
        <is>
          <t xml:space="preserve">Epotal 3675- water based adhesive </t>
        </is>
      </c>
      <c r="D91" s="190" t="n"/>
      <c r="E91" s="190" t="n"/>
      <c r="F91" s="190" t="n"/>
    </row>
    <row r="92">
      <c r="A92" s="188" t="n"/>
      <c r="B92" s="204" t="inlineStr">
        <is>
          <t>T.LAM 849 ( TIPA 312 | TIPA 312 MET | Billerud Kraft Brown paper )</t>
        </is>
      </c>
      <c r="C92" s="190" t="inlineStr">
        <is>
          <t xml:space="preserve">Epotal 3675- water based adhesive </t>
        </is>
      </c>
      <c r="D92" s="190" t="n"/>
      <c r="E92" s="190" t="n"/>
      <c r="F92" s="190" t="n"/>
    </row>
    <row r="93">
      <c r="A93" s="188" t="n"/>
      <c r="B93" s="204" t="inlineStr">
        <is>
          <t>T.LAM 850 ( TIPA 312 | TIPA 312 MET | Paperwise )</t>
        </is>
      </c>
      <c r="C93" s="190" t="inlineStr">
        <is>
          <t xml:space="preserve">Epotal 3675- water based adhesive </t>
        </is>
      </c>
      <c r="D93" s="190" t="n"/>
      <c r="E93" s="190" t="n"/>
      <c r="F93" s="190" t="n"/>
    </row>
    <row r="94">
      <c r="A94" s="188" t="n"/>
      <c r="B94" s="204" t="inlineStr">
        <is>
          <t>T.LAM 851 ( TIPA 312 | NM | NK )</t>
        </is>
      </c>
      <c r="C94" s="190" t="inlineStr">
        <is>
          <t xml:space="preserve">Epotal 3675- water based adhesive </t>
        </is>
      </c>
      <c r="D94" s="190" t="n"/>
      <c r="E94" s="190" t="n"/>
      <c r="F94" s="190" t="n"/>
    </row>
    <row r="95">
      <c r="A95" s="188" t="n"/>
      <c r="B95" s="204" t="inlineStr">
        <is>
          <t>T.LAM 851M ( TIPA 312 | NM | NK matt )</t>
        </is>
      </c>
      <c r="C95" s="190" t="inlineStr">
        <is>
          <t xml:space="preserve">Epotal 3675- water based adhesive </t>
        </is>
      </c>
      <c r="D95" s="190" t="n"/>
      <c r="E95" s="190" t="n"/>
      <c r="F95" s="190" t="n"/>
    </row>
    <row r="96">
      <c r="A96" s="188" t="n"/>
      <c r="B96" s="204" t="inlineStr">
        <is>
          <t>T.LAM 852 ( TIPA 312 | NM | Billerud Kraft White paper )</t>
        </is>
      </c>
      <c r="C96" s="190" t="inlineStr">
        <is>
          <t xml:space="preserve">Epotal 3675- water based adhesive </t>
        </is>
      </c>
      <c r="D96" s="190" t="n"/>
      <c r="E96" s="190" t="n"/>
      <c r="F96" s="190" t="n"/>
    </row>
    <row r="97">
      <c r="A97" s="188" t="n"/>
      <c r="B97" s="204" t="inlineStr">
        <is>
          <t>T.LAM 853 ( TIPA 312 | NM | Billerud Kraft Brown paper )</t>
        </is>
      </c>
      <c r="C97" s="190" t="inlineStr">
        <is>
          <t xml:space="preserve">Epotal 3675- water based adhesive </t>
        </is>
      </c>
      <c r="D97" s="190" t="n"/>
      <c r="E97" s="190" t="n"/>
      <c r="F97" s="190" t="n"/>
    </row>
    <row r="98">
      <c r="A98" s="188" t="n"/>
      <c r="B98" s="204" t="inlineStr">
        <is>
          <t>T.LAM 854 ( TIPA 312 | NM | Paperwise )</t>
        </is>
      </c>
      <c r="C98" s="190" t="inlineStr">
        <is>
          <t xml:space="preserve">Epotal 3675- water based adhesive </t>
        </is>
      </c>
      <c r="D98" s="190" t="n"/>
      <c r="E98" s="190" t="n"/>
      <c r="F98" s="190" t="n"/>
    </row>
    <row r="99">
      <c r="A99" s="188" t="n"/>
      <c r="B99" s="204" t="inlineStr">
        <is>
          <t>T.LAM 855 ( TIPA 312 MET | NK | Paperwise )</t>
        </is>
      </c>
      <c r="C99" s="190" t="inlineStr">
        <is>
          <t xml:space="preserve">Epotal 3675- water based adhesive </t>
        </is>
      </c>
      <c r="D99" s="190" t="n"/>
      <c r="E99" s="190" t="n"/>
      <c r="F99" s="190" t="n"/>
    </row>
    <row r="100">
      <c r="A100" s="188" t="n"/>
      <c r="B100" s="204" t="inlineStr">
        <is>
          <t>T.LAM 856 ( TIPA 312 MET | TIPA 312 MET | NK matt )</t>
        </is>
      </c>
      <c r="C100" s="190" t="inlineStr">
        <is>
          <t xml:space="preserve">Epotal 3675- water based adhesive </t>
        </is>
      </c>
      <c r="D100" s="190" t="n"/>
      <c r="E100" s="190" t="n"/>
      <c r="F100" s="190" t="n"/>
    </row>
    <row r="101">
      <c r="A101" s="188" t="n"/>
      <c r="B101" s="204" t="inlineStr">
        <is>
          <t>T.LAM 857 ( TIPA 312 MET | TIPA 312 MET | Billerud Kraft White paper )</t>
        </is>
      </c>
      <c r="C101" s="190" t="inlineStr">
        <is>
          <t xml:space="preserve">Epotal 3675- water based adhesive </t>
        </is>
      </c>
      <c r="D101" s="190" t="n"/>
      <c r="E101" s="190" t="n"/>
      <c r="F101" s="190" t="n"/>
    </row>
    <row r="102">
      <c r="A102" s="188" t="n"/>
      <c r="B102" s="204" t="inlineStr">
        <is>
          <t>T.LAM 858 ( TIPA 312 MET | TIPA 312 MET | Billerud Kraft Brown paper )</t>
        </is>
      </c>
      <c r="C102" s="190" t="inlineStr">
        <is>
          <t xml:space="preserve">Epotal 3675- water based adhesive </t>
        </is>
      </c>
      <c r="D102" s="190" t="n"/>
      <c r="E102" s="190" t="n"/>
      <c r="F102" s="190" t="n"/>
    </row>
    <row r="103" ht="15" customHeight="1" s="430">
      <c r="A103" s="188" t="n"/>
      <c r="B103" s="204" t="inlineStr">
        <is>
          <t>T.LAM 859 ( TIPA 312 MET | TIPA 312 MET | Paperwise )</t>
        </is>
      </c>
      <c r="C103" s="190" t="inlineStr">
        <is>
          <t xml:space="preserve">Epotal 3675- water based adhesive </t>
        </is>
      </c>
      <c r="D103" s="190" t="n"/>
      <c r="E103" s="190" t="n"/>
      <c r="F103" s="190" t="n"/>
    </row>
    <row r="104">
      <c r="A104" s="188" t="n"/>
      <c r="B104" s="204" t="inlineStr">
        <is>
          <t>T.LAM 860 ( TIPA 312 MET |NM | Paperwise )</t>
        </is>
      </c>
      <c r="C104" s="190" t="inlineStr">
        <is>
          <t xml:space="preserve">Epotal 3675- water based adhesive </t>
        </is>
      </c>
      <c r="D104" s="190" t="n"/>
      <c r="E104" s="190" t="n"/>
      <c r="F104" s="190" t="n"/>
    </row>
    <row r="105">
      <c r="A105" s="188" t="n"/>
      <c r="B105" s="204" t="inlineStr">
        <is>
          <t>T.LAM 861 ( TIPA 312ALX | NK | Paperwise )</t>
        </is>
      </c>
      <c r="C105" s="190" t="inlineStr">
        <is>
          <t xml:space="preserve">Epotal 3675- water based adhesive </t>
        </is>
      </c>
      <c r="D105" s="190" t="n"/>
      <c r="E105" s="190" t="n"/>
      <c r="F105" s="190" t="n"/>
    </row>
    <row r="106">
      <c r="A106" s="188" t="n"/>
      <c r="B106" s="204" t="inlineStr">
        <is>
          <t>T.LAM 862 ( TIPA 312ALX | TIPA 312 MET |NK)</t>
        </is>
      </c>
      <c r="C106" s="190" t="inlineStr">
        <is>
          <t xml:space="preserve">Epotal 3675- water based adhesive </t>
        </is>
      </c>
      <c r="D106" s="190" t="n"/>
      <c r="E106" s="190" t="n"/>
      <c r="F106" s="190" t="n"/>
    </row>
    <row r="107">
      <c r="A107" s="188" t="n"/>
      <c r="B107" s="204" t="inlineStr">
        <is>
          <t>T.LAM 862M ( TIPA 312ALX | TIPA 312 MET |NK matt )</t>
        </is>
      </c>
      <c r="C107" s="190" t="inlineStr">
        <is>
          <t xml:space="preserve">Epotal 3675- water based adhesive </t>
        </is>
      </c>
      <c r="D107" s="190" t="n"/>
      <c r="E107" s="190" t="n"/>
      <c r="F107" s="190" t="n"/>
    </row>
    <row r="108">
      <c r="A108" s="188" t="n"/>
      <c r="B108" s="204" t="inlineStr">
        <is>
          <t>T.LAM 863 ( TIPA 312ALX | TIPA 312 MET | Billerud Kraft White paper )</t>
        </is>
      </c>
      <c r="C108" s="190" t="inlineStr">
        <is>
          <t xml:space="preserve">Epotal 3675- water based adhesive </t>
        </is>
      </c>
      <c r="D108" s="190" t="n"/>
      <c r="E108" s="190" t="n"/>
      <c r="F108" s="190" t="n"/>
    </row>
    <row r="109">
      <c r="A109" s="188" t="n"/>
      <c r="B109" s="204" t="inlineStr">
        <is>
          <t>T.LAM 864 ( TIPA 312ALX | TIPA 312 MET | Billerud Kraft Brown paper )</t>
        </is>
      </c>
      <c r="C109" s="190" t="inlineStr">
        <is>
          <t xml:space="preserve">Epotal 3675- water based adhesive </t>
        </is>
      </c>
      <c r="D109" s="190" t="n"/>
      <c r="E109" s="190" t="n"/>
      <c r="F109" s="190" t="n"/>
    </row>
    <row r="110">
      <c r="A110" s="188" t="n"/>
      <c r="B110" s="204" t="inlineStr">
        <is>
          <t>T.LAM 865 ( TIPA 312ALX | TIPA 312 MET | Paperwise )</t>
        </is>
      </c>
      <c r="C110" s="190" t="inlineStr">
        <is>
          <t xml:space="preserve">Epotal 3675- water based adhesive </t>
        </is>
      </c>
      <c r="D110" s="190" t="n"/>
      <c r="E110" s="190" t="n"/>
      <c r="F110" s="190" t="n"/>
    </row>
    <row r="111">
      <c r="A111" s="188" t="n"/>
      <c r="B111" s="204" t="inlineStr">
        <is>
          <t>T.LAM 866 ( TIPA 312ALX | NM | Paperwise )</t>
        </is>
      </c>
      <c r="C111" s="190" t="inlineStr">
        <is>
          <t xml:space="preserve">Epotal 3675- water based adhesive </t>
        </is>
      </c>
      <c r="D111" s="190" t="n"/>
      <c r="E111" s="190" t="n"/>
      <c r="F111" s="190" t="n"/>
    </row>
    <row r="112" ht="15.75" customHeight="1" s="430">
      <c r="A112" s="188" t="n"/>
      <c r="B112" s="204" t="inlineStr">
        <is>
          <t>T.LAM 867 ( TIPA 312 MET | NM | NK White )</t>
        </is>
      </c>
      <c r="C112" s="190" t="inlineStr">
        <is>
          <t xml:space="preserve">Epotal 3675- water based adhesive </t>
        </is>
      </c>
      <c r="D112" s="190" t="n"/>
      <c r="E112" s="190" t="n"/>
      <c r="F112" s="190" t="n"/>
    </row>
    <row r="113">
      <c r="A113" s="188" t="n"/>
      <c r="B113" s="205" t="inlineStr">
        <is>
          <t>T.LAM 868 L (KANZAN KP 460 | Paptic Sterna LUX 150 | NK 23)</t>
        </is>
      </c>
      <c r="C113" s="190" t="inlineStr">
        <is>
          <t xml:space="preserve">Epotal 3675- water based adhesive </t>
        </is>
      </c>
      <c r="D113" s="190" t="n"/>
      <c r="E113" s="190" t="n"/>
      <c r="F113" s="190" t="n"/>
    </row>
    <row r="114">
      <c r="A114" s="188" t="n"/>
      <c r="B114" s="205" t="inlineStr">
        <is>
          <t>T.LAM 869 L (KANZAN KP 460 | Paptic Sterna LUX 150 )</t>
        </is>
      </c>
      <c r="C114" s="190" t="inlineStr">
        <is>
          <t xml:space="preserve">Epotal 3675- water based adhesive </t>
        </is>
      </c>
      <c r="D114" s="190" t="n"/>
      <c r="E114" s="190" t="n"/>
      <c r="F114" s="190" t="n"/>
    </row>
    <row r="115">
      <c r="A115" s="188" t="n"/>
      <c r="B115" s="205" t="inlineStr">
        <is>
          <t>T.LAM 870 L (Paptic Sterna LUX 150|Paptic Sterna LUX 150 )</t>
        </is>
      </c>
      <c r="C115" s="190" t="inlineStr">
        <is>
          <t xml:space="preserve">Epotal 3675- water based adhesive </t>
        </is>
      </c>
      <c r="D115" s="190" t="n"/>
      <c r="E115" s="190" t="n"/>
      <c r="F115" s="190" t="n"/>
    </row>
    <row r="116">
      <c r="A116" s="188" t="n"/>
      <c r="B116" s="206" t="inlineStr">
        <is>
          <t>T.LAM 648 ( NK | TIPA 302 )</t>
        </is>
      </c>
      <c r="C116" s="190" t="inlineStr">
        <is>
          <t xml:space="preserve">Epotal 3702+B - water based adhesive </t>
        </is>
      </c>
      <c r="D116" s="190" t="n"/>
      <c r="E116" s="190" t="n"/>
      <c r="F116" s="190" t="n"/>
    </row>
    <row r="117">
      <c r="A117" s="188" t="n"/>
      <c r="B117" s="207" t="inlineStr">
        <is>
          <t>T.LAM 919 ( TIPA 302 | NK | Billerud Kraft White Paper)</t>
        </is>
      </c>
      <c r="C117" s="190" t="inlineStr">
        <is>
          <t xml:space="preserve">Epotal 3702+B - water based adhesive </t>
        </is>
      </c>
      <c r="D117" s="190" t="n"/>
      <c r="E117" s="190" t="n"/>
      <c r="F117" s="190" t="n"/>
    </row>
    <row r="118">
      <c r="A118" s="188" t="n"/>
      <c r="B118" s="207" t="inlineStr">
        <is>
          <t>T.LAM 923 ( TIPA 312 MET | NK | Billerud White paper )</t>
        </is>
      </c>
      <c r="C118" s="190" t="inlineStr">
        <is>
          <t xml:space="preserve">Epotal 3702+B - water based adhesive </t>
        </is>
      </c>
      <c r="D118" s="190" t="n"/>
      <c r="E118" s="190" t="n"/>
      <c r="F118" s="190" t="n"/>
    </row>
    <row r="119">
      <c r="A119" s="188" t="n"/>
      <c r="B119" s="206" t="inlineStr">
        <is>
          <t>T.LAM 918 ( NK 19 | TIPA 312 MET )</t>
        </is>
      </c>
      <c r="C119" s="190" t="inlineStr">
        <is>
          <t xml:space="preserve">Epotal 3702+B - water based adhesive </t>
        </is>
      </c>
      <c r="D119" s="190" t="n"/>
      <c r="E119" s="190" t="n"/>
      <c r="F119" s="190" t="n"/>
    </row>
    <row r="120">
      <c r="A120" s="188" t="n"/>
      <c r="B120" s="206" t="inlineStr">
        <is>
          <t>T.LAM 928 ( NK | TIPA 312 MET |TIPA 312 MET )</t>
        </is>
      </c>
      <c r="C120" s="190" t="inlineStr">
        <is>
          <t xml:space="preserve">Epotal 3702+B - water based adhesive </t>
        </is>
      </c>
      <c r="D120" s="190" t="n"/>
      <c r="E120" s="190" t="n"/>
      <c r="F120" s="190" t="n"/>
    </row>
    <row r="121">
      <c r="A121" s="188" t="n"/>
      <c r="B121" s="207" t="inlineStr">
        <is>
          <t>T.LAM 929 ( TIPA 302 | NK | Billerud Kraft White Paper)</t>
        </is>
      </c>
      <c r="C121" s="190" t="inlineStr">
        <is>
          <t xml:space="preserve">1 pass = heat lam , 2 pass = Epotal 3702+B </t>
        </is>
      </c>
      <c r="D121" s="190" t="n"/>
      <c r="E121" s="190" t="n"/>
      <c r="F121" s="190" t="n"/>
    </row>
    <row r="122">
      <c r="A122" s="188" t="n"/>
      <c r="B122" s="207" t="inlineStr">
        <is>
          <t>T.LAM 668 ( NK | TIPA 302 )</t>
        </is>
      </c>
      <c r="C122" s="190" t="inlineStr">
        <is>
          <t xml:space="preserve"> heat lam</t>
        </is>
      </c>
      <c r="D122" s="190" t="n"/>
      <c r="E122" s="190" t="n"/>
      <c r="F122" s="190" t="n"/>
    </row>
  </sheetData>
  <autoFilter ref="A2:F122">
    <sortState ref="A3:F112">
      <sortCondition ref="B2:B75"/>
    </sortState>
  </autoFilter>
  <mergeCells count="1">
    <mergeCell ref="A1:F1"/>
  </mergeCells>
  <pageMargins left="0.25" right="0.25" top="0.75" bottom="0.75" header="0.3" footer="0.3"/>
  <pageSetup orientation="landscape" scale="42" fitToHeight="0"/>
</worksheet>
</file>

<file path=xl/worksheets/sheet14.xml><?xml version="1.0" encoding="utf-8"?>
<worksheet xmlns="http://schemas.openxmlformats.org/spreadsheetml/2006/main">
  <sheetPr>
    <outlinePr summaryBelow="1" summaryRight="1"/>
    <pageSetUpPr/>
  </sheetPr>
  <dimension ref="B1:F138"/>
  <sheetViews>
    <sheetView workbookViewId="0">
      <pane ySplit="3" topLeftCell="A123" activePane="bottomLeft" state="frozen"/>
      <selection pane="bottomLeft" activeCell="B138" sqref="B138:F138"/>
    </sheetView>
  </sheetViews>
  <sheetFormatPr baseColWidth="8" defaultRowHeight="15"/>
  <cols>
    <col width="4.7109375" customWidth="1" style="430" min="1" max="1"/>
    <col width="24.5703125" bestFit="1" customWidth="1" style="430" min="2" max="2"/>
    <col width="61.7109375" bestFit="1" customWidth="1" style="430" min="3" max="3"/>
    <col width="60.140625" bestFit="1" customWidth="1" style="430" min="4" max="4"/>
    <col width="35.5703125" bestFit="1" customWidth="1" style="430" min="5" max="5"/>
    <col width="40" bestFit="1" customWidth="1" style="430" min="6" max="6"/>
  </cols>
  <sheetData>
    <row r="1" ht="9.949999999999999" customHeight="1" s="430">
      <c r="B1" s="500" t="n"/>
      <c r="C1" s="500" t="n"/>
      <c r="D1" s="500" t="n"/>
      <c r="E1" s="500" t="n"/>
      <c r="F1" s="500" t="n"/>
    </row>
    <row r="2" ht="24.95" customHeight="1" s="430">
      <c r="B2" s="501" t="inlineStr">
        <is>
          <t>📋 LAMINATE PRICING - STEP BY STEP GUIDE</t>
        </is>
      </c>
    </row>
    <row r="3" ht="15.75" customHeight="1" s="430">
      <c r="B3" s="502" t="inlineStr">
        <is>
          <t>How to use the Laminate Pricing Calculator</t>
        </is>
      </c>
    </row>
    <row r="4" ht="9.949999999999999" customHeight="1" s="430">
      <c r="B4" s="500" t="n"/>
      <c r="C4" s="500" t="n"/>
      <c r="D4" s="500" t="n"/>
      <c r="E4" s="500" t="n"/>
      <c r="F4" s="500" t="n"/>
    </row>
    <row r="5" ht="24.95" customHeight="1" s="430">
      <c r="B5" s="503" t="inlineStr">
        <is>
          <t>🔄 PRICING WORKFLOW</t>
        </is>
      </c>
    </row>
    <row r="6">
      <c r="B6" s="500" t="n"/>
      <c r="C6" s="500" t="n"/>
      <c r="D6" s="500" t="n"/>
      <c r="E6" s="500" t="n"/>
      <c r="F6" s="500" t="n"/>
    </row>
    <row r="7" ht="18.75" customHeight="1" s="430">
      <c r="B7" s="401" t="inlineStr">
        <is>
          <t>STEP 1</t>
        </is>
      </c>
      <c r="C7" s="402" t="inlineStr">
        <is>
          <t>→</t>
        </is>
      </c>
      <c r="D7" s="403" t="inlineStr">
        <is>
          <t>STEP 2</t>
        </is>
      </c>
      <c r="E7" s="402" t="inlineStr">
        <is>
          <t>→</t>
        </is>
      </c>
      <c r="F7" s="404" t="inlineStr">
        <is>
          <t>STEP 3</t>
        </is>
      </c>
    </row>
    <row r="8">
      <c r="B8" s="405" t="inlineStr">
        <is>
          <t>📝 SELECT</t>
        </is>
      </c>
      <c r="C8" s="500" t="n"/>
      <c r="D8" s="405" t="inlineStr">
        <is>
          <t>📊 CALCULATE</t>
        </is>
      </c>
      <c r="E8" s="500" t="n"/>
      <c r="F8" s="405" t="inlineStr">
        <is>
          <t>💵 PRICE</t>
        </is>
      </c>
    </row>
    <row r="9" ht="9.949999999999999" customHeight="1" s="430">
      <c r="B9" s="500" t="n"/>
      <c r="C9" s="500" t="n"/>
      <c r="D9" s="500" t="n"/>
      <c r="E9" s="500" t="n"/>
      <c r="F9" s="500" t="n"/>
    </row>
    <row r="10" ht="24.95" customHeight="1" s="430">
      <c r="B10" s="504" t="inlineStr">
        <is>
          <t>📝 DETAILED STEPS</t>
        </is>
      </c>
    </row>
    <row r="11">
      <c r="B11" s="500" t="n"/>
      <c r="C11" s="500" t="n"/>
      <c r="D11" s="500" t="n"/>
      <c r="E11" s="500" t="n"/>
      <c r="F11" s="500" t="n"/>
    </row>
    <row r="12">
      <c r="B12" s="406" t="inlineStr">
        <is>
          <t>Step</t>
        </is>
      </c>
      <c r="C12" s="406" t="inlineStr">
        <is>
          <t>Action</t>
        </is>
      </c>
      <c r="D12" s="406" t="inlineStr">
        <is>
          <t>Location</t>
        </is>
      </c>
      <c r="E12" s="406" t="inlineStr">
        <is>
          <t>Example</t>
        </is>
      </c>
      <c r="F12" s="406" t="inlineStr">
        <is>
          <t>Notes</t>
        </is>
      </c>
    </row>
    <row r="13">
      <c r="B13" s="407" t="inlineStr">
        <is>
          <t>1️⃣</t>
        </is>
      </c>
      <c r="C13" s="500" t="inlineStr">
        <is>
          <t>Select Laminate Type</t>
        </is>
      </c>
      <c r="D13" s="500" t="inlineStr">
        <is>
          <t>Calculator → Laminate</t>
        </is>
      </c>
      <c r="E13" s="500" t="n">
        <v>823</v>
      </c>
      <c r="F13" s="500" t="inlineStr">
        <is>
          <t>Choose from dropdown (e.g., 823, 428, 608)</t>
        </is>
      </c>
    </row>
    <row r="14">
      <c r="B14" s="407" t="inlineStr">
        <is>
          <t>2️⃣</t>
        </is>
      </c>
      <c r="C14" s="500" t="inlineStr">
        <is>
          <t>Enter Width of Reel</t>
        </is>
      </c>
      <c r="D14" s="500" t="inlineStr">
        <is>
          <t>Calculator → Width</t>
        </is>
      </c>
      <c r="E14" s="500" t="inlineStr">
        <is>
          <t>760 mm</t>
        </is>
      </c>
      <c r="F14" s="500" t="inlineStr">
        <is>
          <t>Width in millimeters</t>
        </is>
      </c>
    </row>
    <row r="15">
      <c r="B15" s="407" t="inlineStr">
        <is>
          <t>3️⃣</t>
        </is>
      </c>
      <c r="C15" s="500" t="inlineStr">
        <is>
          <t>Enter Amount (Kg)</t>
        </is>
      </c>
      <c r="D15" s="500" t="inlineStr">
        <is>
          <t>Calculator → Amount</t>
        </is>
      </c>
      <c r="E15" s="500" t="inlineStr">
        <is>
          <t>5,000 Kg</t>
        </is>
      </c>
      <c r="F15" s="500" t="inlineStr">
        <is>
          <t>Order quantity in kilograms</t>
        </is>
      </c>
    </row>
    <row r="16">
      <c r="B16" s="407" t="inlineStr">
        <is>
          <t>4️⃣</t>
        </is>
      </c>
      <c r="C16" s="500" t="inlineStr">
        <is>
          <t>Select PR/NonPR</t>
        </is>
      </c>
      <c r="D16" s="500" t="inlineStr">
        <is>
          <t>Calculator → PR/NonPR</t>
        </is>
      </c>
      <c r="E16" s="500" t="inlineStr">
        <is>
          <t>Printed / Not Printed</t>
        </is>
      </c>
      <c r="F16" s="500" t="inlineStr">
        <is>
          <t>Printed or Not Printed</t>
        </is>
      </c>
    </row>
    <row r="17">
      <c r="B17" s="407" t="inlineStr">
        <is>
          <t>5️⃣</t>
        </is>
      </c>
      <c r="C17" s="500" t="inlineStr">
        <is>
          <t>Select No. of Colors</t>
        </is>
      </c>
      <c r="D17" s="500" t="inlineStr">
        <is>
          <t>Calculator → No of Paints</t>
        </is>
      </c>
      <c r="E17" s="408" t="n">
        <v>46150</v>
      </c>
      <c r="F17" s="500" t="inlineStr">
        <is>
          <t>Options: 0, 1-2, 3-4, 5-8</t>
        </is>
      </c>
    </row>
    <row r="18">
      <c r="B18" s="407" t="inlineStr">
        <is>
          <t>6️⃣</t>
        </is>
      </c>
      <c r="C18" s="500" t="inlineStr">
        <is>
          <t>Select Shipment</t>
        </is>
      </c>
      <c r="D18" s="500" t="inlineStr">
        <is>
          <t>Calculator → Shipment</t>
        </is>
      </c>
      <c r="E18" s="500" t="inlineStr">
        <is>
          <t>Europe to US</t>
        </is>
      </c>
      <c r="F18" s="500" t="inlineStr">
        <is>
          <t>Destination for shipping cost</t>
        </is>
      </c>
    </row>
    <row r="19">
      <c r="B19" s="407" t="inlineStr">
        <is>
          <t>7️⃣</t>
        </is>
      </c>
      <c r="C19" s="500" t="inlineStr">
        <is>
          <t>Select Supplier</t>
        </is>
      </c>
      <c r="D19" s="500" t="inlineStr">
        <is>
          <t>Calculator → Supplier</t>
        </is>
      </c>
      <c r="E19" s="500" t="inlineStr">
        <is>
          <t>Bastin / Marma</t>
        </is>
      </c>
      <c r="F19" s="500" t="inlineStr">
        <is>
          <t>Supplier affects processing costs</t>
        </is>
      </c>
    </row>
    <row r="20">
      <c r="B20" s="407" t="inlineStr">
        <is>
          <t>8️⃣</t>
        </is>
      </c>
      <c r="C20" s="500" t="inlineStr">
        <is>
          <t>Set Margin %</t>
        </is>
      </c>
      <c r="D20" s="500" t="inlineStr">
        <is>
          <t>Margin Cell (Row 1)</t>
        </is>
      </c>
      <c r="E20" s="409" t="n">
        <v>0.25</v>
      </c>
      <c r="F20" s="500" t="inlineStr">
        <is>
          <t>Adjustable margin for sell price</t>
        </is>
      </c>
    </row>
    <row r="21">
      <c r="B21" s="407" t="inlineStr">
        <is>
          <t>9️⃣</t>
        </is>
      </c>
      <c r="C21" s="500" t="inlineStr">
        <is>
          <t>Review Results</t>
        </is>
      </c>
      <c r="D21" s="500" t="inlineStr">
        <is>
          <t>Results Section</t>
        </is>
      </c>
      <c r="E21" s="500" t="inlineStr">
        <is>
          <t>Auto</t>
        </is>
      </c>
      <c r="F21" s="500" t="inlineStr">
        <is>
          <t>Total Cost, Cost/Kg, Sell Price</t>
        </is>
      </c>
    </row>
    <row r="22" ht="9.949999999999999" customHeight="1" s="430">
      <c r="B22" s="500" t="n"/>
      <c r="C22" s="500" t="n"/>
      <c r="D22" s="500" t="n"/>
      <c r="E22" s="500" t="n"/>
      <c r="F22" s="500" t="n"/>
    </row>
    <row r="23" ht="24.95" customHeight="1" s="430">
      <c r="B23" s="505" t="inlineStr">
        <is>
          <t>⚡ AUTO-CALCULATIONS</t>
        </is>
      </c>
    </row>
    <row r="24">
      <c r="B24" s="500" t="n"/>
      <c r="C24" s="500" t="n"/>
      <c r="D24" s="500" t="n"/>
      <c r="E24" s="500" t="n"/>
      <c r="F24" s="500" t="n"/>
    </row>
    <row r="25">
      <c r="B25" s="410" t="inlineStr">
        <is>
          <t>Calculation</t>
        </is>
      </c>
      <c r="C25" s="410" t="inlineStr">
        <is>
          <t>Formula Logic</t>
        </is>
      </c>
      <c r="D25" s="500" t="n"/>
      <c r="E25" s="500" t="n"/>
      <c r="F25" s="500" t="n"/>
    </row>
    <row r="26">
      <c r="B26" s="500" t="inlineStr">
        <is>
          <t>Laminate Length (m)</t>
        </is>
      </c>
      <c r="C26" s="500" t="inlineStr">
        <is>
          <t>Amount (Kg) × 1000 ÷ (Width × Thickness × Density)</t>
        </is>
      </c>
      <c r="D26" s="500" t="n"/>
      <c r="E26" s="500" t="n"/>
      <c r="F26" s="500" t="n"/>
    </row>
    <row r="27">
      <c r="B27" s="500" t="inlineStr">
        <is>
          <t>Weight per Layer (Kg)</t>
        </is>
      </c>
      <c r="C27" s="500" t="inlineStr">
        <is>
          <t>Width (mm) × Thickness (µ) × Density ÷ 1,000,000</t>
        </is>
      </c>
      <c r="D27" s="500" t="n"/>
      <c r="E27" s="500" t="n"/>
      <c r="F27" s="500" t="n"/>
    </row>
    <row r="28">
      <c r="B28" s="500" t="inlineStr">
        <is>
          <t>Raw Material Cost/Kg</t>
        </is>
      </c>
      <c r="C28" s="500" t="inlineStr">
        <is>
          <t>Sum of (Weight × Raw Material Cost) for each layer</t>
        </is>
      </c>
      <c r="D28" s="500" t="n"/>
      <c r="E28" s="500" t="n"/>
      <c r="F28" s="500" t="n"/>
    </row>
    <row r="29">
      <c r="B29" s="500" t="inlineStr">
        <is>
          <t>Shipment Cost/Kg</t>
        </is>
      </c>
      <c r="C29" s="500" t="inlineStr">
        <is>
          <t>Based on destination (EU→EU: €0.20, EU→US: €4.25, etc.)</t>
        </is>
      </c>
      <c r="D29" s="500" t="n"/>
      <c r="E29" s="500" t="n"/>
      <c r="F29" s="500" t="n"/>
    </row>
    <row r="30">
      <c r="B30" s="500" t="inlineStr">
        <is>
          <t>Lamination Cost/Kg</t>
        </is>
      </c>
      <c r="C30" s="500" t="inlineStr">
        <is>
          <t>Rate × Laminate Length ÷ Amount (varies by supplier)</t>
        </is>
      </c>
      <c r="D30" s="500" t="n"/>
      <c r="E30" s="500" t="n"/>
      <c r="F30" s="500" t="n"/>
    </row>
    <row r="31">
      <c r="B31" s="500" t="inlineStr">
        <is>
          <t>Printing Cost/Kg</t>
        </is>
      </c>
      <c r="C31" s="500" t="inlineStr">
        <is>
          <t>Only added if "Printed" - based on colors selected</t>
        </is>
      </c>
      <c r="D31" s="500" t="n"/>
      <c r="E31" s="500" t="n"/>
      <c r="F31" s="500" t="n"/>
    </row>
    <row r="32">
      <c r="B32" s="500" t="inlineStr">
        <is>
          <t>Slitting Cost/Kg</t>
        </is>
      </c>
      <c r="C32" s="500" t="inlineStr">
        <is>
          <t>Rate × Laminate Length ÷ Amount</t>
        </is>
      </c>
      <c r="D32" s="500" t="n"/>
      <c r="E32" s="500" t="n"/>
      <c r="F32" s="500" t="n"/>
    </row>
    <row r="33">
      <c r="B33" s="500" t="inlineStr">
        <is>
          <t>Waste %</t>
        </is>
      </c>
      <c r="C33" s="500" t="inlineStr">
        <is>
          <t>6% base + 2.8% additional if Printed</t>
        </is>
      </c>
      <c r="D33" s="500" t="n"/>
      <c r="E33" s="500" t="n"/>
      <c r="F33" s="500" t="n"/>
    </row>
    <row r="34">
      <c r="B34" s="500" t="inlineStr">
        <is>
          <t>Total Cost/Kg</t>
        </is>
      </c>
      <c r="C34" s="500" t="inlineStr">
        <is>
          <t>(RM + Shipment + Services) × (1 + Waste%)</t>
        </is>
      </c>
      <c r="D34" s="500" t="n"/>
      <c r="E34" s="500" t="n"/>
      <c r="F34" s="500" t="n"/>
    </row>
    <row r="35" ht="9.949999999999999" customHeight="1" s="430">
      <c r="B35" s="500" t="n"/>
      <c r="C35" s="500" t="n"/>
      <c r="D35" s="500" t="n"/>
      <c r="E35" s="500" t="n"/>
      <c r="F35" s="500" t="n"/>
    </row>
    <row r="36" ht="24.95" customHeight="1" s="430">
      <c r="B36" s="506" t="inlineStr">
        <is>
          <t>💰 SELL PRICE CALCULATION</t>
        </is>
      </c>
    </row>
    <row r="37">
      <c r="B37" s="500" t="n"/>
      <c r="C37" s="500" t="n"/>
      <c r="D37" s="500" t="n"/>
      <c r="E37" s="500" t="n"/>
      <c r="F37" s="500" t="n"/>
    </row>
    <row r="38">
      <c r="B38" s="411" t="inlineStr">
        <is>
          <t>Component</t>
        </is>
      </c>
      <c r="C38" s="411" t="inlineStr">
        <is>
          <t>Calculation</t>
        </is>
      </c>
      <c r="D38" s="500" t="n"/>
      <c r="E38" s="500" t="n"/>
      <c r="F38" s="500" t="n"/>
    </row>
    <row r="39">
      <c r="B39" s="500" t="inlineStr">
        <is>
          <t>Margin %</t>
        </is>
      </c>
      <c r="C39" s="500" t="inlineStr">
        <is>
          <t>Set in cell above calculator (default 25%)</t>
        </is>
      </c>
      <c r="D39" s="500" t="n"/>
      <c r="E39" s="500" t="n"/>
      <c r="F39" s="500" t="n"/>
    </row>
    <row r="40">
      <c r="B40" s="500" t="inlineStr">
        <is>
          <t>Cost/Kg (€)</t>
        </is>
      </c>
      <c r="C40" s="500" t="inlineStr">
        <is>
          <t>Raw Materials + Shipment + Lamination + Printing + Slitting + Waste</t>
        </is>
      </c>
      <c r="D40" s="500" t="n"/>
      <c r="E40" s="500" t="n"/>
      <c r="F40" s="500" t="n"/>
    </row>
    <row r="41">
      <c r="B41" s="500" t="inlineStr">
        <is>
          <t>Sell Price (€)</t>
        </is>
      </c>
      <c r="C41" s="500" t="inlineStr">
        <is>
          <t>Cost/Kg × (1 + Margin%)</t>
        </is>
      </c>
      <c r="D41" s="500" t="n"/>
      <c r="E41" s="500" t="n"/>
      <c r="F41" s="500" t="n"/>
    </row>
    <row r="42">
      <c r="B42" s="500" t="inlineStr">
        <is>
          <t>Sell Price ($)</t>
        </is>
      </c>
      <c r="C42" s="500" t="inlineStr">
        <is>
          <t>Sell Price (€) × Exchange Rate (1.16)</t>
        </is>
      </c>
      <c r="D42" s="500" t="n"/>
      <c r="E42" s="500" t="n"/>
      <c r="F42" s="500" t="n"/>
    </row>
    <row r="43">
      <c r="B43" s="500" t="inlineStr">
        <is>
          <t>Total Cost (€)</t>
        </is>
      </c>
      <c r="C43" s="500" t="inlineStr">
        <is>
          <t>Cost/Kg × Amount (Kg)</t>
        </is>
      </c>
      <c r="D43" s="500" t="n"/>
      <c r="E43" s="500" t="n"/>
      <c r="F43" s="500" t="n"/>
    </row>
    <row r="44" ht="9.949999999999999" customHeight="1" s="430">
      <c r="B44" s="500" t="n"/>
      <c r="C44" s="500" t="n"/>
      <c r="D44" s="500" t="n"/>
      <c r="E44" s="500" t="n"/>
      <c r="F44" s="500" t="n"/>
    </row>
    <row r="45" ht="24.95" customHeight="1" s="430">
      <c r="B45" s="507" t="inlineStr">
        <is>
          <t>🧱 LAMINATE STRUCTURE</t>
        </is>
      </c>
    </row>
    <row r="46">
      <c r="B46" s="500" t="n"/>
      <c r="C46" s="500" t="n"/>
      <c r="D46" s="500" t="n"/>
      <c r="E46" s="500" t="n"/>
      <c r="F46" s="500" t="n"/>
    </row>
    <row r="47">
      <c r="B47" s="508" t="inlineStr">
        <is>
          <t>Each laminate code represents a multi-layer structure. The layers are shown in Column D:</t>
        </is>
      </c>
    </row>
    <row r="48">
      <c r="B48" s="500" t="n"/>
      <c r="C48" s="500" t="n"/>
      <c r="D48" s="500" t="n"/>
      <c r="E48" s="500" t="n"/>
      <c r="F48" s="500" t="n"/>
    </row>
    <row r="49">
      <c r="B49" s="412" t="inlineStr">
        <is>
          <t>Layer Type</t>
        </is>
      </c>
      <c r="C49" s="412" t="inlineStr">
        <is>
          <t>Example</t>
        </is>
      </c>
      <c r="D49" s="412" t="inlineStr">
        <is>
          <t>Typical Thickness</t>
        </is>
      </c>
      <c r="E49" s="412" t="inlineStr">
        <is>
          <t>Purpose</t>
        </is>
      </c>
      <c r="F49" s="500" t="n"/>
    </row>
    <row r="50">
      <c r="B50" s="500" t="inlineStr">
        <is>
          <t>NK / NKR</t>
        </is>
      </c>
      <c r="C50" s="500" t="inlineStr">
        <is>
          <t>Kraft Paper</t>
        </is>
      </c>
      <c r="D50" s="500" t="inlineStr">
        <is>
          <t>23 µ</t>
        </is>
      </c>
      <c r="E50" s="500" t="inlineStr">
        <is>
          <t>Base layer - biodegradable</t>
        </is>
      </c>
      <c r="F50" s="500" t="n"/>
    </row>
    <row r="51">
      <c r="B51" s="500" t="inlineStr">
        <is>
          <t>TIPA Films</t>
        </is>
      </c>
      <c r="C51" s="500" t="inlineStr">
        <is>
          <t>312 MET, 302FG</t>
        </is>
      </c>
      <c r="D51" s="500" t="inlineStr">
        <is>
          <t>25-60 µ</t>
        </is>
      </c>
      <c r="E51" s="500" t="inlineStr">
        <is>
          <t>Barrier &amp; structure layers</t>
        </is>
      </c>
      <c r="F51" s="500" t="n"/>
    </row>
    <row r="52">
      <c r="B52" s="500" t="inlineStr">
        <is>
          <t>Paper</t>
        </is>
      </c>
      <c r="C52" s="500" t="inlineStr">
        <is>
          <t>Billerud Kraft</t>
        </is>
      </c>
      <c r="D52" s="500" t="inlineStr">
        <is>
          <t>67 µ</t>
        </is>
      </c>
      <c r="E52" s="500" t="inlineStr">
        <is>
          <t>Additional barrier (optional)</t>
        </is>
      </c>
      <c r="F52" s="500" t="n"/>
    </row>
    <row r="53">
      <c r="B53" s="500" t="inlineStr">
        <is>
          <t>Adhesive</t>
        </is>
      </c>
      <c r="C53" s="500" t="inlineStr">
        <is>
          <t>Epotal ECO 3675</t>
        </is>
      </c>
      <c r="D53" s="500" t="inlineStr">
        <is>
          <t>12 µ</t>
        </is>
      </c>
      <c r="E53" s="500" t="inlineStr">
        <is>
          <t>Bonds layers together</t>
        </is>
      </c>
      <c r="F53" s="500" t="n"/>
    </row>
    <row r="54">
      <c r="B54" s="500" t="inlineStr">
        <is>
          <t>PBAT</t>
        </is>
      </c>
      <c r="C54" s="500" t="inlineStr">
        <is>
          <t>PBAT Layer</t>
        </is>
      </c>
      <c r="D54" s="500" t="inlineStr">
        <is>
          <t>17 µ</t>
        </is>
      </c>
      <c r="E54" s="500" t="inlineStr">
        <is>
          <t>Flexibility &amp; sealing</t>
        </is>
      </c>
      <c r="F54" s="500" t="n"/>
    </row>
    <row r="55" ht="9.949999999999999" customHeight="1" s="430">
      <c r="B55" s="500" t="n"/>
      <c r="C55" s="500" t="n"/>
      <c r="D55" s="500" t="n"/>
      <c r="E55" s="500" t="n"/>
      <c r="F55" s="500" t="n"/>
    </row>
    <row r="56" ht="24.95" customHeight="1" s="430">
      <c r="B56" s="509" t="inlineStr">
        <is>
          <t>🏭 SUPPLIERS &amp; RATES</t>
        </is>
      </c>
    </row>
    <row r="57">
      <c r="B57" s="500" t="n"/>
      <c r="C57" s="500" t="n"/>
      <c r="D57" s="500" t="n"/>
      <c r="E57" s="500" t="n"/>
      <c r="F57" s="500" t="n"/>
    </row>
    <row r="58">
      <c r="B58" s="413" t="inlineStr">
        <is>
          <t>Supplier</t>
        </is>
      </c>
      <c r="C58" s="413" t="inlineStr">
        <is>
          <t>Lamination Rate</t>
        </is>
      </c>
      <c r="D58" s="413" t="inlineStr">
        <is>
          <t>Printing Rate</t>
        </is>
      </c>
      <c r="E58" s="413" t="inlineStr">
        <is>
          <t>Slitting Rate</t>
        </is>
      </c>
      <c r="F58" s="500" t="n"/>
    </row>
    <row r="59">
      <c r="B59" s="500" t="inlineStr">
        <is>
          <t>Bastin</t>
        </is>
      </c>
      <c r="C59" s="500" t="inlineStr">
        <is>
          <t>€0.110 / m</t>
        </is>
      </c>
      <c r="D59" s="500" t="inlineStr">
        <is>
          <t>€0.150-0.173 / m</t>
        </is>
      </c>
      <c r="E59" s="500" t="inlineStr">
        <is>
          <t>€0.031 / m</t>
        </is>
      </c>
      <c r="F59" s="500" t="n"/>
    </row>
    <row r="60">
      <c r="B60" s="500" t="inlineStr">
        <is>
          <t>Marma</t>
        </is>
      </c>
      <c r="C60" s="500" t="inlineStr">
        <is>
          <t>€0.085-0.086 / m</t>
        </is>
      </c>
      <c r="D60" s="500" t="inlineStr">
        <is>
          <t>N/A</t>
        </is>
      </c>
      <c r="E60" s="500" t="inlineStr">
        <is>
          <t>€0.024 / m</t>
        </is>
      </c>
      <c r="F60" s="500" t="n"/>
    </row>
    <row r="61" ht="9.949999999999999" customHeight="1" s="430">
      <c r="B61" s="500" t="n"/>
      <c r="C61" s="500" t="n"/>
      <c r="D61" s="500" t="n"/>
      <c r="E61" s="500" t="n"/>
      <c r="F61" s="500" t="n"/>
    </row>
    <row r="62" ht="24.95" customHeight="1" s="430">
      <c r="B62" s="510" t="inlineStr">
        <is>
          <t>🚚 SHIPMENT COSTS</t>
        </is>
      </c>
    </row>
    <row r="63">
      <c r="B63" s="500" t="n"/>
      <c r="C63" s="500" t="n"/>
      <c r="D63" s="500" t="n"/>
      <c r="E63" s="500" t="n"/>
      <c r="F63" s="500" t="n"/>
    </row>
    <row r="64">
      <c r="B64" s="414" t="inlineStr">
        <is>
          <t>Destination</t>
        </is>
      </c>
      <c r="C64" s="414" t="inlineStr">
        <is>
          <t>Cost (€/Kg)</t>
        </is>
      </c>
      <c r="D64" s="500" t="n"/>
      <c r="E64" s="500" t="n"/>
      <c r="F64" s="500" t="n"/>
    </row>
    <row r="65">
      <c r="B65" s="500" t="inlineStr">
        <is>
          <t>Europe to Europe</t>
        </is>
      </c>
      <c r="C65" s="500" t="n">
        <v>0.2</v>
      </c>
      <c r="D65" s="500" t="n"/>
      <c r="E65" s="500" t="n"/>
      <c r="F65" s="500" t="n"/>
    </row>
    <row r="66">
      <c r="B66" s="500" t="inlineStr">
        <is>
          <t>Europe to US</t>
        </is>
      </c>
      <c r="C66" s="500" t="n">
        <v>4.25</v>
      </c>
      <c r="D66" s="500" t="n"/>
      <c r="E66" s="500" t="n"/>
      <c r="F66" s="500" t="n"/>
    </row>
    <row r="67">
      <c r="B67" s="500" t="inlineStr">
        <is>
          <t>Europe to Canada</t>
        </is>
      </c>
      <c r="C67" s="500" t="n">
        <v>3.45</v>
      </c>
      <c r="D67" s="500" t="n"/>
      <c r="E67" s="500" t="n"/>
      <c r="F67" s="500" t="n"/>
    </row>
    <row r="68">
      <c r="B68" s="500" t="inlineStr">
        <is>
          <t>Europe to Israel</t>
        </is>
      </c>
      <c r="C68" s="500" t="n">
        <v>1.5</v>
      </c>
      <c r="D68" s="500" t="n"/>
      <c r="E68" s="500" t="n"/>
      <c r="F68" s="500" t="n"/>
    </row>
    <row r="69" ht="9.949999999999999" customHeight="1" s="430">
      <c r="B69" s="500" t="n"/>
      <c r="C69" s="500" t="n"/>
      <c r="D69" s="500" t="n"/>
      <c r="E69" s="500" t="n"/>
      <c r="F69" s="500" t="n"/>
    </row>
    <row r="70" ht="24.95" customHeight="1" s="430">
      <c r="B70" s="511" t="inlineStr">
        <is>
          <t>💡 QUICK TIPS</t>
        </is>
      </c>
    </row>
    <row r="71">
      <c r="B71" s="500" t="n"/>
      <c r="C71" s="500" t="n"/>
      <c r="D71" s="500" t="n"/>
      <c r="E71" s="500" t="n"/>
      <c r="F71" s="500" t="n"/>
    </row>
    <row r="72">
      <c r="B72" s="500" t="inlineStr">
        <is>
          <t>✓ Use the 3 CALCULATOR sections to compare different laminate options side by side</t>
        </is>
      </c>
    </row>
    <row r="73">
      <c r="B73" s="500" t="inlineStr">
        <is>
          <t>✓ Higher amounts = lower cost/Kg due to fixed costs spreading (economies of scale)</t>
        </is>
      </c>
    </row>
    <row r="74">
      <c r="B74" s="500" t="inlineStr">
        <is>
          <t>✓ Printed laminates add extra cost: printing rate + 2.8% waste</t>
        </is>
      </c>
    </row>
    <row r="75">
      <c r="B75" s="500" t="inlineStr">
        <is>
          <t>✓ Shipment destination significantly impacts final cost (EU→EU is cheapest)</t>
        </is>
      </c>
    </row>
    <row r="76">
      <c r="B76" s="500" t="inlineStr">
        <is>
          <t>✓ Bastin has higher lamination rates but can do printing; Marma is cheaper but no printing</t>
        </is>
      </c>
    </row>
    <row r="77">
      <c r="B77" s="500" t="inlineStr">
        <is>
          <t>✓ Total Thickness is sum of all layers - check K column for individual thicknesses</t>
        </is>
      </c>
    </row>
    <row r="78">
      <c r="B78" s="500" t="inlineStr">
        <is>
          <t>✓ Column Y shows Total Cost/Kg including waste calculations</t>
        </is>
      </c>
    </row>
    <row r="79">
      <c r="B79" s="500" t="inlineStr">
        <is>
          <t>✓ Adjust margin % in row 1 above each calculator to change sell price</t>
        </is>
      </c>
    </row>
    <row r="80" ht="9.949999999999999" customHeight="1" s="430">
      <c r="B80" s="500" t="n"/>
      <c r="C80" s="500" t="n"/>
      <c r="D80" s="500" t="n"/>
      <c r="E80" s="500" t="n"/>
      <c r="F80" s="500" t="n"/>
    </row>
    <row r="81" ht="24.95" customHeight="1" s="430">
      <c r="B81" s="513" t="inlineStr">
        <is>
          <t>📊 MAIN TABLE COLUMNS (A-Y)</t>
        </is>
      </c>
    </row>
    <row r="82">
      <c r="B82" s="500" t="n"/>
      <c r="C82" s="500" t="n"/>
      <c r="D82" s="500" t="n"/>
      <c r="E82" s="500" t="n"/>
      <c r="F82" s="500" t="n"/>
    </row>
    <row r="83">
      <c r="B83" s="415" t="inlineStr">
        <is>
          <t>Column</t>
        </is>
      </c>
      <c r="C83" s="415" t="inlineStr">
        <is>
          <t>Name</t>
        </is>
      </c>
      <c r="D83" s="415" t="inlineStr">
        <is>
          <t>Type</t>
        </is>
      </c>
      <c r="E83" s="415" t="inlineStr">
        <is>
          <t>Description</t>
        </is>
      </c>
      <c r="F83" s="500" t="n"/>
    </row>
    <row r="84">
      <c r="B84" s="500" t="inlineStr">
        <is>
          <t>A</t>
        </is>
      </c>
      <c r="C84" s="500" t="inlineStr">
        <is>
          <t>Measurement</t>
        </is>
      </c>
      <c r="D84" s="500" t="inlineStr">
        <is>
          <t>Dropdown</t>
        </is>
      </c>
      <c r="E84" s="500" t="inlineStr">
        <is>
          <t>Units - Kg or Meters</t>
        </is>
      </c>
      <c r="F84" s="500" t="n"/>
    </row>
    <row r="85">
      <c r="B85" s="500" t="inlineStr">
        <is>
          <t>B</t>
        </is>
      </c>
      <c r="C85" s="500" t="inlineStr">
        <is>
          <t>Amount</t>
        </is>
      </c>
      <c r="D85" s="500" t="inlineStr">
        <is>
          <t>Manual</t>
        </is>
      </c>
      <c r="E85" s="500" t="inlineStr">
        <is>
          <t>Order quantity</t>
        </is>
      </c>
      <c r="F85" s="500" t="n"/>
    </row>
    <row r="86">
      <c r="B86" s="500" t="inlineStr">
        <is>
          <t>C</t>
        </is>
      </c>
      <c r="C86" s="500" t="inlineStr">
        <is>
          <t>Laminate</t>
        </is>
      </c>
      <c r="D86" s="500" t="inlineStr">
        <is>
          <t>Dropdown</t>
        </is>
      </c>
      <c r="E86" s="500" t="inlineStr">
        <is>
          <t>Laminate code (e.g., 823, 428, 608)</t>
        </is>
      </c>
      <c r="F86" s="500" t="n"/>
    </row>
    <row r="87">
      <c r="B87" s="500" t="inlineStr">
        <is>
          <t>D</t>
        </is>
      </c>
      <c r="C87" s="500" t="inlineStr">
        <is>
          <t>Laminate structure</t>
        </is>
      </c>
      <c r="D87" s="500" t="inlineStr">
        <is>
          <t>Auto</t>
        </is>
      </c>
      <c r="E87" s="500" t="inlineStr">
        <is>
          <t>Shows layers from HELPER sheet</t>
        </is>
      </c>
      <c r="F87" s="500" t="n"/>
    </row>
    <row r="88">
      <c r="B88" s="500" t="inlineStr">
        <is>
          <t>E</t>
        </is>
      </c>
      <c r="C88" s="500" t="inlineStr">
        <is>
          <t>Width of reel</t>
        </is>
      </c>
      <c r="D88" s="500" t="inlineStr">
        <is>
          <t>Manual</t>
        </is>
      </c>
      <c r="E88" s="500" t="inlineStr">
        <is>
          <t>Width in mm</t>
        </is>
      </c>
      <c r="F88" s="500" t="n"/>
    </row>
    <row r="89">
      <c r="B89" s="500" t="inlineStr">
        <is>
          <t>F</t>
        </is>
      </c>
      <c r="C89" s="500" t="inlineStr">
        <is>
          <t>Length of impression</t>
        </is>
      </c>
      <c r="D89" s="500" t="inlineStr">
        <is>
          <t>Manual</t>
        </is>
      </c>
      <c r="E89" s="500" t="inlineStr">
        <is>
          <t>Impression length (optional)</t>
        </is>
      </c>
      <c r="F89" s="500" t="n"/>
    </row>
    <row r="90">
      <c r="B90" s="500" t="inlineStr">
        <is>
          <t>G</t>
        </is>
      </c>
      <c r="C90" s="500" t="inlineStr">
        <is>
          <t>Laminate length (m)</t>
        </is>
      </c>
      <c r="D90" s="500" t="inlineStr">
        <is>
          <t>Calculated</t>
        </is>
      </c>
      <c r="E90" s="500" t="inlineStr">
        <is>
          <t>Length in meters based on inputs</t>
        </is>
      </c>
      <c r="F90" s="500" t="n"/>
    </row>
    <row r="91">
      <c r="B91" s="500" t="inlineStr">
        <is>
          <t>H</t>
        </is>
      </c>
      <c r="C91" s="500" t="inlineStr">
        <is>
          <t>PR/NonPR</t>
        </is>
      </c>
      <c r="D91" s="500" t="inlineStr">
        <is>
          <t>Linked</t>
        </is>
      </c>
      <c r="E91" s="500" t="inlineStr">
        <is>
          <t>Printed status from calculator</t>
        </is>
      </c>
      <c r="F91" s="500" t="n"/>
    </row>
    <row r="92">
      <c r="B92" s="500" t="inlineStr">
        <is>
          <t>I</t>
        </is>
      </c>
      <c r="C92" s="500" t="inlineStr">
        <is>
          <t>No of colors</t>
        </is>
      </c>
      <c r="D92" s="500" t="inlineStr">
        <is>
          <t>Linked</t>
        </is>
      </c>
      <c r="E92" s="500" t="inlineStr">
        <is>
          <t>Number of print colors from calculator</t>
        </is>
      </c>
      <c r="F92" s="500" t="n"/>
    </row>
    <row r="93">
      <c r="B93" s="500" t="inlineStr">
        <is>
          <t>J</t>
        </is>
      </c>
      <c r="C93" s="500" t="inlineStr">
        <is>
          <t>Lamination Width</t>
        </is>
      </c>
      <c r="D93" s="500" t="inlineStr">
        <is>
          <t>Auto</t>
        </is>
      </c>
      <c r="E93" s="500" t="inlineStr">
        <is>
          <t>Width adjusted for lamination</t>
        </is>
      </c>
      <c r="F93" s="500" t="n"/>
    </row>
    <row r="94">
      <c r="B94" s="500" t="inlineStr">
        <is>
          <t>K</t>
        </is>
      </c>
      <c r="C94" s="500" t="inlineStr">
        <is>
          <t>Thickness (µ)</t>
        </is>
      </c>
      <c r="D94" s="500" t="inlineStr">
        <is>
          <t>Auto</t>
        </is>
      </c>
      <c r="E94" s="500" t="inlineStr">
        <is>
          <t>Thickness per layer in microns</t>
        </is>
      </c>
      <c r="F94" s="500" t="n"/>
    </row>
    <row r="95">
      <c r="B95" s="500" t="inlineStr">
        <is>
          <t>L</t>
        </is>
      </c>
      <c r="C95" s="500" t="inlineStr">
        <is>
          <t>Density</t>
        </is>
      </c>
      <c r="D95" s="500" t="inlineStr">
        <is>
          <t>Auto</t>
        </is>
      </c>
      <c r="E95" s="500" t="inlineStr">
        <is>
          <t>Material density</t>
        </is>
      </c>
      <c r="F95" s="500" t="n"/>
    </row>
    <row r="96">
      <c r="B96" s="500" t="inlineStr">
        <is>
          <t>M</t>
        </is>
      </c>
      <c r="C96" s="500" t="inlineStr">
        <is>
          <t>Weight (kg)</t>
        </is>
      </c>
      <c r="D96" s="500" t="inlineStr">
        <is>
          <t>Calculated</t>
        </is>
      </c>
      <c r="E96" s="500" t="inlineStr">
        <is>
          <t>Weight per meter per layer</t>
        </is>
      </c>
      <c r="F96" s="500" t="n"/>
    </row>
    <row r="97">
      <c r="B97" s="500" t="inlineStr">
        <is>
          <t>N</t>
        </is>
      </c>
      <c r="C97" s="500" t="inlineStr">
        <is>
          <t>Raw material Cost</t>
        </is>
      </c>
      <c r="D97" s="500" t="inlineStr">
        <is>
          <t>Lookup</t>
        </is>
      </c>
      <c r="E97" s="500" t="inlineStr">
        <is>
          <t>Cost €/kg from BOM</t>
        </is>
      </c>
      <c r="F97" s="500" t="n"/>
    </row>
    <row r="98">
      <c r="B98" s="500" t="inlineStr">
        <is>
          <t>O</t>
        </is>
      </c>
      <c r="C98" s="500" t="inlineStr">
        <is>
          <t>Shipment Destination</t>
        </is>
      </c>
      <c r="D98" s="500" t="inlineStr">
        <is>
          <t>Dropdown</t>
        </is>
      </c>
      <c r="E98" s="500" t="inlineStr">
        <is>
          <t>Where shipping to</t>
        </is>
      </c>
      <c r="F98" s="500" t="n"/>
    </row>
    <row r="99">
      <c r="B99" s="500" t="inlineStr">
        <is>
          <t>P</t>
        </is>
      </c>
      <c r="C99" s="500" t="inlineStr">
        <is>
          <t>Shipment costs</t>
        </is>
      </c>
      <c r="D99" s="500" t="inlineStr">
        <is>
          <t>Auto</t>
        </is>
      </c>
      <c r="E99" s="500" t="inlineStr">
        <is>
          <t>€/kg shipping cost</t>
        </is>
      </c>
      <c r="F99" s="500" t="n"/>
    </row>
    <row r="100">
      <c r="B100" s="500" t="inlineStr">
        <is>
          <t>Q</t>
        </is>
      </c>
      <c r="C100" s="500" t="inlineStr">
        <is>
          <t>Cost (€)</t>
        </is>
      </c>
      <c r="D100" s="500" t="inlineStr">
        <is>
          <t>Calculated</t>
        </is>
      </c>
      <c r="E100" s="500" t="inlineStr">
        <is>
          <t>Per-layer cost</t>
        </is>
      </c>
      <c r="F100" s="500" t="n"/>
    </row>
    <row r="101">
      <c r="B101" s="500" t="inlineStr">
        <is>
          <t>R</t>
        </is>
      </c>
      <c r="C101" s="500" t="inlineStr">
        <is>
          <t>Cost Per KG (€)</t>
        </is>
      </c>
      <c r="D101" s="500" t="inlineStr">
        <is>
          <t>Calculated</t>
        </is>
      </c>
      <c r="E101" s="500" t="inlineStr">
        <is>
          <t>Per-layer cost/kg</t>
        </is>
      </c>
      <c r="F101" s="500" t="n"/>
    </row>
    <row r="102">
      <c r="B102" s="500" t="inlineStr">
        <is>
          <t>S</t>
        </is>
      </c>
      <c r="C102" s="500" t="inlineStr">
        <is>
          <t>Supplier</t>
        </is>
      </c>
      <c r="D102" s="500" t="inlineStr">
        <is>
          <t>Dropdown</t>
        </is>
      </c>
      <c r="E102" s="500" t="inlineStr">
        <is>
          <t>Bastin or Marma</t>
        </is>
      </c>
      <c r="F102" s="500" t="n"/>
    </row>
    <row r="103">
      <c r="B103" s="500" t="inlineStr">
        <is>
          <t>T-V</t>
        </is>
      </c>
      <c r="C103" s="500" t="inlineStr">
        <is>
          <t>Processing rates</t>
        </is>
      </c>
      <c r="D103" s="500" t="inlineStr">
        <is>
          <t>Auto</t>
        </is>
      </c>
      <c r="E103" s="500" t="inlineStr">
        <is>
          <t>Lamination, Printing, Slitting rates</t>
        </is>
      </c>
      <c r="F103" s="500" t="n"/>
    </row>
    <row r="104">
      <c r="B104" s="500" t="n"/>
      <c r="C104" s="500" t="n"/>
      <c r="D104" s="500" t="n"/>
      <c r="E104" s="500" t="n"/>
      <c r="F104" s="500" t="n"/>
    </row>
    <row r="105">
      <c r="B105" s="500" t="inlineStr">
        <is>
          <t>W</t>
        </is>
      </c>
      <c r="C105" s="500" t="inlineStr">
        <is>
          <t>Waste</t>
        </is>
      </c>
      <c r="D105" s="500" t="inlineStr">
        <is>
          <t>Calculated</t>
        </is>
      </c>
      <c r="E105" s="500" t="inlineStr">
        <is>
          <t>6% of RM cost</t>
        </is>
      </c>
      <c r="F105" s="500" t="n"/>
    </row>
    <row r="106">
      <c r="B106" s="500" t="inlineStr">
        <is>
          <t>X</t>
        </is>
      </c>
      <c r="C106" s="500" t="inlineStr">
        <is>
          <t>Printing waste</t>
        </is>
      </c>
      <c r="D106" s="500" t="inlineStr">
        <is>
          <t>Calculated</t>
        </is>
      </c>
      <c r="E106" s="500" t="inlineStr">
        <is>
          <t>2.8% if Printed, else 0</t>
        </is>
      </c>
      <c r="F106" s="500" t="n"/>
    </row>
    <row r="107">
      <c r="B107" s="500" t="inlineStr">
        <is>
          <t>Y</t>
        </is>
      </c>
      <c r="C107" s="500" t="inlineStr">
        <is>
          <t>Total Cost</t>
        </is>
      </c>
      <c r="D107" s="500" t="inlineStr">
        <is>
          <t>Calculated</t>
        </is>
      </c>
      <c r="E107" s="500" t="inlineStr">
        <is>
          <t>Full cost/kg including waste</t>
        </is>
      </c>
      <c r="F107" s="500" t="n"/>
    </row>
    <row r="108" ht="9.949999999999999" customHeight="1" s="430">
      <c r="B108" s="500" t="n"/>
      <c r="C108" s="500" t="n"/>
      <c r="D108" s="500" t="n"/>
      <c r="E108" s="500" t="n"/>
      <c r="F108" s="500" t="n"/>
    </row>
    <row r="109" ht="24.95" customHeight="1" s="430">
      <c r="B109" s="514" t="inlineStr">
        <is>
          <t>📈 CALCULATOR OUTPUT ROWS</t>
        </is>
      </c>
    </row>
    <row r="110">
      <c r="B110" s="500" t="n"/>
      <c r="C110" s="500" t="n"/>
      <c r="D110" s="500" t="n"/>
      <c r="E110" s="500" t="n"/>
      <c r="F110" s="500" t="n"/>
    </row>
    <row r="111">
      <c r="B111" s="416" t="inlineStr">
        <is>
          <t>Row</t>
        </is>
      </c>
      <c r="C111" s="416" t="inlineStr">
        <is>
          <t>Label</t>
        </is>
      </c>
      <c r="D111" s="416" t="inlineStr">
        <is>
          <t>Description</t>
        </is>
      </c>
      <c r="E111" s="500" t="n"/>
      <c r="F111" s="500" t="n"/>
    </row>
    <row r="112">
      <c r="B112" s="408" t="n">
        <v>46092</v>
      </c>
      <c r="C112" s="500" t="inlineStr">
        <is>
          <t>Input Parameters</t>
        </is>
      </c>
      <c r="D112" s="500" t="inlineStr">
        <is>
          <t>Laminate, Width, Amount, PR/NonPR, Colors, Shipment, Supplier</t>
        </is>
      </c>
      <c r="E112" s="500" t="n"/>
      <c r="F112" s="500" t="n"/>
    </row>
    <row r="113">
      <c r="B113" s="500" t="n">
        <v>12</v>
      </c>
      <c r="C113" s="500" t="inlineStr">
        <is>
          <t>📈 RESULTS</t>
        </is>
      </c>
      <c r="D113" s="500" t="inlineStr">
        <is>
          <t>Section header</t>
        </is>
      </c>
      <c r="E113" s="500" t="n"/>
      <c r="F113" s="500" t="n"/>
    </row>
    <row r="114">
      <c r="B114" s="500" t="n">
        <v>13</v>
      </c>
      <c r="C114" s="500" t="inlineStr">
        <is>
          <t>📏 Laminate Length</t>
        </is>
      </c>
      <c r="D114" s="500" t="inlineStr">
        <is>
          <t>Total meters of laminate produced</t>
        </is>
      </c>
      <c r="E114" s="500" t="n"/>
      <c r="F114" s="500" t="n"/>
    </row>
    <row r="115">
      <c r="B115" s="500" t="n">
        <v>14</v>
      </c>
      <c r="C115" s="500" t="inlineStr">
        <is>
          <t>💶 Total Cost (€)</t>
        </is>
      </c>
      <c r="D115" s="500" t="inlineStr">
        <is>
          <t>Total order cost in Euros</t>
        </is>
      </c>
      <c r="E115" s="500" t="n"/>
      <c r="F115" s="500" t="n"/>
    </row>
    <row r="116">
      <c r="B116" s="500" t="n">
        <v>15</v>
      </c>
      <c r="C116" s="500" t="inlineStr">
        <is>
          <t>💵 Total Cost ($)</t>
        </is>
      </c>
      <c r="D116" s="500" t="inlineStr">
        <is>
          <t>Total order cost in USD</t>
        </is>
      </c>
      <c r="E116" s="500" t="n"/>
      <c r="F116" s="500" t="n"/>
    </row>
    <row r="117">
      <c r="B117" s="500" t="n">
        <v>16</v>
      </c>
      <c r="C117" s="500" t="inlineStr">
        <is>
          <t>💶 Cost/Kg (€)</t>
        </is>
      </c>
      <c r="D117" s="500" t="inlineStr">
        <is>
          <t>Cost per kilogram in Euros</t>
        </is>
      </c>
      <c r="E117" s="500" t="n"/>
      <c r="F117" s="500" t="n"/>
    </row>
    <row r="118">
      <c r="B118" s="500" t="n">
        <v>17</v>
      </c>
      <c r="C118" s="500" t="inlineStr">
        <is>
          <t>💵 Cost/Kg ($)</t>
        </is>
      </c>
      <c r="D118" s="500" t="inlineStr">
        <is>
          <t>Cost per kilogram in USD</t>
        </is>
      </c>
      <c r="E118" s="500" t="n"/>
      <c r="F118" s="500" t="n"/>
    </row>
    <row r="119">
      <c r="B119" s="500" t="inlineStr">
        <is>
          <t>24-27</t>
        </is>
      </c>
      <c r="C119" s="500" t="inlineStr">
        <is>
          <t>💵 SELL PRICE</t>
        </is>
      </c>
      <c r="D119" s="500" t="inlineStr">
        <is>
          <t>Final sell price with margin applied</t>
        </is>
      </c>
      <c r="E119" s="500" t="n"/>
      <c r="F119" s="500" t="n"/>
    </row>
    <row r="120" ht="9.949999999999999" customHeight="1" s="430">
      <c r="B120" s="500" t="n"/>
      <c r="C120" s="500" t="n"/>
      <c r="D120" s="500" t="n"/>
      <c r="E120" s="500" t="n"/>
      <c r="F120" s="500" t="n"/>
    </row>
    <row r="121" ht="24.95" customHeight="1" s="430">
      <c r="B121" s="515" t="inlineStr">
        <is>
          <t>📝 EXAMPLE CALCULATION</t>
        </is>
      </c>
    </row>
    <row r="122">
      <c r="B122" s="500" t="n"/>
      <c r="C122" s="500" t="n"/>
      <c r="D122" s="500" t="n"/>
      <c r="E122" s="500" t="n"/>
      <c r="F122" s="500" t="n"/>
    </row>
    <row r="123">
      <c r="B123" s="516" t="inlineStr">
        <is>
          <t>Scenario: 5,000 Kg of Laminate 823, 760mm width, Printed 5-8 colors, Europe to US, Bastin supplier</t>
        </is>
      </c>
    </row>
    <row r="124">
      <c r="B124" s="500" t="n"/>
      <c r="C124" s="500" t="n"/>
      <c r="D124" s="500" t="n"/>
      <c r="E124" s="500" t="n"/>
      <c r="F124" s="500" t="n"/>
    </row>
    <row r="125">
      <c r="B125" s="417" t="inlineStr">
        <is>
          <t>Step</t>
        </is>
      </c>
      <c r="C125" s="417" t="inlineStr">
        <is>
          <t>Calculation</t>
        </is>
      </c>
      <c r="D125" s="500" t="n"/>
      <c r="E125" s="500" t="n"/>
      <c r="F125" s="500" t="n"/>
    </row>
    <row r="126">
      <c r="B126" s="500" t="inlineStr">
        <is>
          <t>1. Raw Material Cost</t>
        </is>
      </c>
      <c r="C126" s="500" t="inlineStr">
        <is>
          <t>Sum of layer weights × raw material prices ≈ €2.96/kg</t>
        </is>
      </c>
      <c r="D126" s="500" t="n"/>
      <c r="E126" s="500" t="n"/>
      <c r="F126" s="500" t="n"/>
    </row>
    <row r="127">
      <c r="B127" s="500" t="inlineStr">
        <is>
          <t>2. Shipment Cost</t>
        </is>
      </c>
      <c r="C127" s="500" t="inlineStr">
        <is>
          <t>Europe to US = €4.25/kg</t>
        </is>
      </c>
      <c r="D127" s="500" t="n"/>
      <c r="E127" s="500" t="n"/>
      <c r="F127" s="500" t="n"/>
    </row>
    <row r="128">
      <c r="B128" s="500" t="inlineStr">
        <is>
          <t>3. Lamination</t>
        </is>
      </c>
      <c r="C128" s="500" t="inlineStr">
        <is>
          <t>Bastin rate × length ÷ amount ≈ €0.11/kg</t>
        </is>
      </c>
      <c r="D128" s="500" t="n"/>
      <c r="E128" s="500" t="n"/>
      <c r="F128" s="500" t="n"/>
    </row>
    <row r="129">
      <c r="B129" s="500" t="inlineStr">
        <is>
          <t>4. Printing</t>
        </is>
      </c>
      <c r="C129" s="500" t="inlineStr">
        <is>
          <t>5-8 colors rate × length ÷ amount ≈ €0.17/kg</t>
        </is>
      </c>
      <c r="D129" s="500" t="n"/>
      <c r="E129" s="500" t="n"/>
      <c r="F129" s="500" t="n"/>
    </row>
    <row r="130">
      <c r="B130" s="500" t="inlineStr">
        <is>
          <t>5. Slitting</t>
        </is>
      </c>
      <c r="C130" s="500" t="inlineStr">
        <is>
          <t>Bastin slitting rate × length ÷ amount ≈ €0.03/kg</t>
        </is>
      </c>
      <c r="D130" s="500" t="n"/>
      <c r="E130" s="500" t="n"/>
      <c r="F130" s="500" t="n"/>
    </row>
    <row r="131">
      <c r="B131" s="500" t="inlineStr">
        <is>
          <t>6. Subtotal Services</t>
        </is>
      </c>
      <c r="C131" s="500" t="inlineStr">
        <is>
          <t>Lamination + Printing + Slitting ≈ €0.31/kg</t>
        </is>
      </c>
      <c r="D131" s="500" t="n"/>
      <c r="E131" s="500" t="n"/>
      <c r="F131" s="500" t="n"/>
    </row>
    <row r="132">
      <c r="B132" s="500" t="inlineStr">
        <is>
          <t>7. Waste (6%)</t>
        </is>
      </c>
      <c r="C132" s="500" t="inlineStr">
        <is>
          <t>€2.96 × 6% ≈ €0.18/kg</t>
        </is>
      </c>
      <c r="D132" s="500" t="n"/>
      <c r="E132" s="500" t="n"/>
      <c r="F132" s="500" t="n"/>
    </row>
    <row r="133">
      <c r="B133" s="500" t="inlineStr">
        <is>
          <t>8. Printing Waste (2.8%)</t>
        </is>
      </c>
      <c r="C133" s="500" t="inlineStr">
        <is>
          <t>€2.96 × 2.8% ≈ €0.08/kg</t>
        </is>
      </c>
      <c r="D133" s="500" t="n"/>
      <c r="E133" s="500" t="n"/>
      <c r="F133" s="500" t="n"/>
    </row>
    <row r="134">
      <c r="B134" s="500" t="inlineStr">
        <is>
          <t>9. Total Cost/Kg</t>
        </is>
      </c>
      <c r="C134" s="500" t="inlineStr">
        <is>
          <t>€2.96 + €4.25 + €0.31 + €0.18 + €0.08 ≈ €7.78/kg</t>
        </is>
      </c>
      <c r="D134" s="500" t="n"/>
      <c r="E134" s="500" t="n"/>
      <c r="F134" s="500" t="n"/>
    </row>
    <row r="135">
      <c r="B135" s="500" t="inlineStr">
        <is>
          <t>10. Sell Price (25% margin)</t>
        </is>
      </c>
      <c r="C135" s="500" t="inlineStr">
        <is>
          <t>€7.78 × 1.25 ≈ €9.73/kg</t>
        </is>
      </c>
      <c r="D135" s="500" t="n"/>
      <c r="E135" s="500" t="n"/>
      <c r="F135" s="500" t="n"/>
    </row>
    <row r="136">
      <c r="B136" s="500" t="inlineStr">
        <is>
          <t>11. Total Order Cost</t>
        </is>
      </c>
      <c r="C136" s="500" t="inlineStr">
        <is>
          <t>€7.78 × 5,000 = €38,900</t>
        </is>
      </c>
      <c r="D136" s="500" t="n"/>
      <c r="E136" s="500" t="n"/>
      <c r="F136" s="500" t="n"/>
    </row>
    <row r="137">
      <c r="B137" s="500" t="n"/>
      <c r="C137" s="500" t="n"/>
      <c r="D137" s="500" t="n"/>
      <c r="E137" s="500" t="n"/>
      <c r="F137" s="500" t="n"/>
    </row>
    <row r="138">
      <c r="B138" s="512" t="n"/>
    </row>
  </sheetData>
  <mergeCells count="24">
    <mergeCell ref="B138:F138"/>
    <mergeCell ref="B75:F75"/>
    <mergeCell ref="B109:F109"/>
    <mergeCell ref="B47:F47"/>
    <mergeCell ref="B62:F62"/>
    <mergeCell ref="B81:F81"/>
    <mergeCell ref="B72:F72"/>
    <mergeCell ref="B3:F3"/>
    <mergeCell ref="B121:F121"/>
    <mergeCell ref="B56:F56"/>
    <mergeCell ref="B70:F70"/>
    <mergeCell ref="B77:F77"/>
    <mergeCell ref="B2:F2"/>
    <mergeCell ref="B23:F23"/>
    <mergeCell ref="B73:F73"/>
    <mergeCell ref="B78:F78"/>
    <mergeCell ref="B10:F10"/>
    <mergeCell ref="B74:F74"/>
    <mergeCell ref="B5:F5"/>
    <mergeCell ref="B76:F76"/>
    <mergeCell ref="B45:F45"/>
    <mergeCell ref="B79:F79"/>
    <mergeCell ref="B123:F123"/>
    <mergeCell ref="B36:F36"/>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sheetData>
    <row r="1">
      <c r="A1" t="inlineStr">
        <is>
          <t>Laminate</t>
        </is>
      </c>
      <c r="B1" t="inlineStr">
        <is>
          <t>Total Thickness</t>
        </is>
      </c>
      <c r="C1" t="inlineStr">
        <is>
          <t>Width of Reel</t>
        </is>
      </c>
      <c r="D1" t="inlineStr">
        <is>
          <t>Amount</t>
        </is>
      </c>
      <c r="E1" t="inlineStr">
        <is>
          <t>PR/NonPR</t>
        </is>
      </c>
      <c r="F1" t="inlineStr">
        <is>
          <t>No of Colors</t>
        </is>
      </c>
      <c r="G1" t="inlineStr">
        <is>
          <t>Shipment</t>
        </is>
      </c>
      <c r="H1" t="inlineStr">
        <is>
          <t>Supplier</t>
        </is>
      </c>
      <c r="I1" t="inlineStr">
        <is>
          <t>Margin</t>
        </is>
      </c>
      <c r="J1" t="inlineStr">
        <is>
          <t>Laminate Length</t>
        </is>
      </c>
      <c r="K1" t="inlineStr">
        <is>
          <t>Total Cost EUR</t>
        </is>
      </c>
      <c r="L1" t="inlineStr">
        <is>
          <t>Total Cost USD</t>
        </is>
      </c>
      <c r="M1" t="inlineStr">
        <is>
          <t>Cost/Kg EUR</t>
        </is>
      </c>
      <c r="N1" t="inlineStr">
        <is>
          <t>Cost/Kg USD</t>
        </is>
      </c>
      <c r="O1" t="inlineStr">
        <is>
          <t>Sell Price EUR</t>
        </is>
      </c>
      <c r="P1" t="inlineStr">
        <is>
          <t>Sell Price USD</t>
        </is>
      </c>
      <c r="Q1" t="inlineStr">
        <is>
          <t>Structure</t>
        </is>
      </c>
    </row>
    <row r="2">
      <c r="A2" t="inlineStr">
        <is>
          <t>823</t>
        </is>
      </c>
      <c r="B2" t="inlineStr">
        <is>
          <t>121</t>
        </is>
      </c>
      <c r="C2" t="inlineStr">
        <is>
          <t>760</t>
        </is>
      </c>
      <c r="D2" t="inlineStr">
        <is>
          <t>5000</t>
        </is>
      </c>
      <c r="E2" t="inlineStr">
        <is>
          <t>Printed</t>
        </is>
      </c>
      <c r="F2" t="inlineStr">
        <is>
          <t>5-8</t>
        </is>
      </c>
      <c r="G2" t="inlineStr">
        <is>
          <t>Europe to US</t>
        </is>
      </c>
      <c r="H2" t="inlineStr">
        <is>
          <t>Bastin</t>
        </is>
      </c>
      <c r="I2" t="inlineStr">
        <is>
          <t>0.25</t>
        </is>
      </c>
      <c r="J2" t="inlineStr">
        <is>
          <t>54933</t>
        </is>
      </c>
      <c r="K2" t="inlineStr">
        <is>
          <t>69295.84</t>
        </is>
      </c>
      <c r="L2" t="inlineStr">
        <is>
          <t>80383.17</t>
        </is>
      </c>
      <c r="M2" t="inlineStr">
        <is>
          <t>13.859168</t>
        </is>
      </c>
      <c r="N2" t="inlineStr">
        <is>
          <t>16.07663488</t>
        </is>
      </c>
      <c r="O2" t="inlineStr">
        <is>
          <t>17.32</t>
        </is>
      </c>
      <c r="P2" t="inlineStr">
        <is>
          <t>20.09</t>
        </is>
      </c>
      <c r="Q2" t="inlineStr">
        <is>
          <t>NK 23 | TIPA 312 MET 25 | Billerud Kraft White Paper 67 | RM G Epotal ECO 3675 6</t>
        </is>
      </c>
    </row>
    <row r="3">
      <c r="A3" t="inlineStr">
        <is>
          <t>618</t>
        </is>
      </c>
      <c r="B3" t="inlineStr">
        <is>
          <t>60</t>
        </is>
      </c>
      <c r="C3" t="inlineStr">
        <is>
          <t>760</t>
        </is>
      </c>
      <c r="D3" t="inlineStr">
        <is>
          <t>5000</t>
        </is>
      </c>
      <c r="E3" t="inlineStr">
        <is>
          <t>Printed</t>
        </is>
      </c>
      <c r="F3" t="inlineStr">
        <is>
          <t>5-8</t>
        </is>
      </c>
      <c r="G3" t="inlineStr">
        <is>
          <t>Europe to US</t>
        </is>
      </c>
      <c r="H3" t="inlineStr">
        <is>
          <t>Bastin</t>
        </is>
      </c>
      <c r="I3" t="inlineStr">
        <is>
          <t>0.20</t>
        </is>
      </c>
      <c r="J3" t="inlineStr">
        <is>
          <t>83001.74137653408</t>
        </is>
      </c>
      <c r="K3" t="inlineStr">
        <is>
          <t>72654.26</t>
        </is>
      </c>
      <c r="L3" t="inlineStr">
        <is>
          <t>84278.94</t>
        </is>
      </c>
      <c r="M3" t="inlineStr">
        <is>
          <t>14.530852</t>
        </is>
      </c>
      <c r="N3" t="inlineStr">
        <is>
          <t>16.85578832</t>
        </is>
      </c>
      <c r="O3" t="inlineStr">
        <is>
          <t>17.44</t>
        </is>
      </c>
      <c r="P3" t="inlineStr">
        <is>
          <t>20.23</t>
        </is>
      </c>
      <c r="Q3" t="inlineStr">
        <is>
          <t>NK 23 | TIPA 302FG 33 | RM G Epotal ECO 3675 3</t>
        </is>
      </c>
    </row>
    <row r="4">
      <c r="A4" t="inlineStr">
        <is>
          <t>428</t>
        </is>
      </c>
      <c r="B4" t="inlineStr">
        <is>
          <t>79</t>
        </is>
      </c>
      <c r="C4" t="inlineStr">
        <is>
          <t>760</t>
        </is>
      </c>
      <c r="D4" t="inlineStr">
        <is>
          <t>5000</t>
        </is>
      </c>
      <c r="E4" t="inlineStr">
        <is>
          <t>Not Printed</t>
        </is>
      </c>
      <c r="F4" t="inlineStr">
        <is>
          <t>0</t>
        </is>
      </c>
      <c r="G4" t="inlineStr">
        <is>
          <t>Europe to US</t>
        </is>
      </c>
      <c r="H4" t="inlineStr">
        <is>
          <t>Bastin</t>
        </is>
      </c>
      <c r="I4" t="inlineStr">
        <is>
          <t>0.20</t>
        </is>
      </c>
      <c r="J4" t="inlineStr">
        <is>
          <t>61348.037230896836</t>
        </is>
      </c>
      <c r="K4" t="inlineStr">
        <is>
          <t>105474.72</t>
        </is>
      </c>
      <c r="L4" t="inlineStr">
        <is>
          <t>122350.68</t>
        </is>
      </c>
      <c r="M4" t="inlineStr">
        <is>
          <t>21.094944</t>
        </is>
      </c>
      <c r="N4" t="inlineStr">
        <is>
          <t>24.47013504</t>
        </is>
      </c>
      <c r="O4" t="inlineStr">
        <is>
          <t>25.31</t>
        </is>
      </c>
      <c r="P4" t="inlineStr">
        <is>
          <t>29.36</t>
        </is>
      </c>
      <c r="Q4" t="inlineStr">
        <is>
          <t>NK 23 | TIPA 312 MET 25 | TIPA 312 MET 25 | RM G Epotal ECO 3675 6</t>
        </is>
      </c>
    </row>
    <row r="5">
      <c r="A5" t="inlineStr">
        <is>
          <t>608</t>
        </is>
      </c>
      <c r="B5" t="inlineStr">
        <is>
          <t>100</t>
        </is>
      </c>
      <c r="C5" t="inlineStr">
        <is>
          <t>900</t>
        </is>
      </c>
      <c r="D5" t="inlineStr">
        <is>
          <t>7000</t>
        </is>
      </c>
      <c r="E5" t="inlineStr">
        <is>
          <t>Not Printed</t>
        </is>
      </c>
      <c r="F5" t="inlineStr">
        <is>
          <t>0</t>
        </is>
      </c>
      <c r="G5" t="inlineStr">
        <is>
          <t>Europe to Europe</t>
        </is>
      </c>
      <c r="H5" t="inlineStr">
        <is>
          <t>Bastin</t>
        </is>
      </c>
      <c r="I5" t="inlineStr">
        <is>
          <t>0.25</t>
        </is>
      </c>
      <c r="J5" t="inlineStr">
        <is>
          <t>56956.180355813405</t>
        </is>
      </c>
      <c r="K5" t="inlineStr">
        <is>
          <t>67585.10</t>
        </is>
      </c>
      <c r="L5" t="inlineStr">
        <is>
          <t>78398.71</t>
        </is>
      </c>
      <c r="M5" t="inlineStr">
        <is>
          <t>9.655014285714286</t>
        </is>
      </c>
      <c r="N5" t="inlineStr">
        <is>
          <t>11.199816571428571</t>
        </is>
      </c>
      <c r="O5" t="inlineStr">
        <is>
          <t>12.08</t>
        </is>
      </c>
      <c r="P5" t="inlineStr">
        <is>
          <t>14.00</t>
        </is>
      </c>
      <c r="Q5" t="inlineStr">
        <is>
          <t>NK 23 | TIPA 302FG 60 | PBAT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 Chervets</dc:creator>
  <dcterms:created xmlns:dcterms="http://purl.org/dc/terms/" xmlns:xsi="http://www.w3.org/2001/XMLSchema-instance" xsi:type="dcterms:W3CDTF">2026-05-31T12:15:57Z</dcterms:created>
  <dcterms:modified xmlns:dcterms="http://purl.org/dc/terms/" xmlns:xsi="http://www.w3.org/2001/XMLSchema-instance" xsi:type="dcterms:W3CDTF">2026-06-22T08:50:35Z</dcterms:modified>
  <cp:lastModifiedBy>Michael Chervets</cp:lastModifiedBy>
</cp:coreProperties>
</file>